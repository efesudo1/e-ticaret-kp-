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eo\Downloads\"/>
    </mc:Choice>
  </mc:AlternateContent>
  <xr:revisionPtr revIDLastSave="0" documentId="13_ncr:1_{A84CC274-30BC-492F-BF71-6D6E2FCC18C6}" xr6:coauthVersionLast="47" xr6:coauthVersionMax="47" xr10:uidLastSave="{00000000-0000-0000-0000-000000000000}"/>
  <bookViews>
    <workbookView xWindow="-108" yWindow="-108" windowWidth="23256" windowHeight="12456" firstSheet="4" activeTab="7" xr2:uid="{00000000-000D-0000-FFFF-FFFF00000000}"/>
  </bookViews>
  <sheets>
    <sheet name="GA4 - Trafik" sheetId="1" r:id="rId1"/>
    <sheet name="GA4 - Ürün Etkileşim" sheetId="2" r:id="rId2"/>
    <sheet name="Meta Ads" sheetId="3" r:id="rId3"/>
    <sheet name="Meta Ads - Breakdowns" sheetId="4" r:id="rId4"/>
    <sheet name="Google Ads" sheetId="5" r:id="rId5"/>
    <sheet name="E-Ticaret - Siparişler" sheetId="6" r:id="rId6"/>
    <sheet name="E-Ticaret - Sipariş Kalemleri" sheetId="7" r:id="rId7"/>
    <sheet name="Ürünler (Products)" sheetId="8" r:id="rId8"/>
    <sheet name="Müşteriler (Customers)" sheetId="9" r:id="rId9"/>
    <sheet name="Kampanyalar (Campaigns)" sheetId="10" r:id="rId10"/>
    <sheet name="Kanal Eşleme (Mapping)" sheetId="11" r:id="rId11"/>
  </sheets>
  <definedNames>
    <definedName name="_xlnm._FilterDatabase" localSheetId="6" hidden="1">'E-Ticaret - Sipariş Kalemleri'!$A$5:$F$20</definedName>
    <definedName name="_xlnm._FilterDatabase" localSheetId="5" hidden="1">'E-Ticaret - Siparişler'!$A$5:$F$26</definedName>
    <definedName name="_xlnm._FilterDatabase" localSheetId="0" hidden="1">'GA4 - Trafik'!$A$5:$F$30</definedName>
    <definedName name="_xlnm._FilterDatabase" localSheetId="1" hidden="1">'GA4 - Ürün Etkileşim'!$A$5:$F$23</definedName>
    <definedName name="_xlnm._FilterDatabase" localSheetId="4" hidden="1">'Google Ads'!$A$5:$F$49</definedName>
    <definedName name="_xlnm._FilterDatabase" localSheetId="9" hidden="1">'Kampanyalar (Campaigns)'!$A$5:$F$15</definedName>
    <definedName name="_xlnm._FilterDatabase" localSheetId="10" hidden="1">'Kanal Eşleme (Mapping)'!$A$5:$F$19</definedName>
    <definedName name="_xlnm._FilterDatabase" localSheetId="2" hidden="1">'Meta Ads'!$A$5:$F$43</definedName>
    <definedName name="_xlnm._FilterDatabase" localSheetId="3" hidden="1">'Meta Ads - Breakdowns'!$A$5:$F$17</definedName>
    <definedName name="_xlnm._FilterDatabase" localSheetId="8" hidden="1">'Müşteriler (Customers)'!$A$5:$F$16</definedName>
    <definedName name="_xlnm._FilterDatabase" localSheetId="7" hidden="1">'Ürünler (Products)'!$A$5:$F$18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8" l="1"/>
  <c r="F12" i="7"/>
  <c r="F11" i="7"/>
  <c r="F10" i="7"/>
  <c r="F8" i="7"/>
  <c r="F7" i="2"/>
</calcChain>
</file>

<file path=xl/sharedStrings.xml><?xml version="1.0" encoding="utf-8"?>
<sst xmlns="http://schemas.openxmlformats.org/spreadsheetml/2006/main" count="1138" uniqueCount="651">
  <si>
    <t>GA4 — Oturum ve Trafik Raporu</t>
  </si>
  <si>
    <t>Kaynak: GA4 Data API v1 — runReport endpoint</t>
  </si>
  <si>
    <t>Referans: https://developers.google.com/analytics/devguides/reporting/data/v1/api-schema</t>
  </si>
  <si>
    <t>API Field Name</t>
  </si>
  <si>
    <t>Tür</t>
  </si>
  <si>
    <t>Kategori</t>
  </si>
  <si>
    <t>Açıklama</t>
  </si>
  <si>
    <t>Örnek Değer</t>
  </si>
  <si>
    <t>Notlar</t>
  </si>
  <si>
    <t>date</t>
  </si>
  <si>
    <t>STRING (YYYYMMDD)</t>
  </si>
  <si>
    <t>Dimension</t>
  </si>
  <si>
    <t>Tarih</t>
  </si>
  <si>
    <t>20250315</t>
  </si>
  <si>
    <t>GA4 API YYYYMMDD formatı kullanır (tire yok)</t>
  </si>
  <si>
    <t>sessionSource</t>
  </si>
  <si>
    <t>STRING</t>
  </si>
  <si>
    <t>Oturumun trafik kaynağı</t>
  </si>
  <si>
    <t>google</t>
  </si>
  <si>
    <t>google, facebook, instagram, direct, newsletter</t>
  </si>
  <si>
    <t>sessionMedium</t>
  </si>
  <si>
    <t>Oturumun trafik ortamı</t>
  </si>
  <si>
    <t>organic</t>
  </si>
  <si>
    <t>organic, cpc, social, referral, email, (none)</t>
  </si>
  <si>
    <t>sessionCampaignName</t>
  </si>
  <si>
    <t>Oturumun ilişkili kampanya adı</t>
  </si>
  <si>
    <t>SP_Retargeting_Mart</t>
  </si>
  <si>
    <t>(organic), (direct), (not set) olabilir</t>
  </si>
  <si>
    <t>sessionDefaultChannelGroup</t>
  </si>
  <si>
    <t>GA4 varsayılan kanal grubu</t>
  </si>
  <si>
    <t>Organic Search</t>
  </si>
  <si>
    <t>Organic Search, Paid Search, Paid Social, Direct, Email, Referral, Display</t>
  </si>
  <si>
    <t>deviceCategory</t>
  </si>
  <si>
    <t>Cihaz kategorisi</t>
  </si>
  <si>
    <t>mobile</t>
  </si>
  <si>
    <t>mobile, desktop, tablet</t>
  </si>
  <si>
    <t>city</t>
  </si>
  <si>
    <t>Kullanıcının şehri</t>
  </si>
  <si>
    <t>Istanbul</t>
  </si>
  <si>
    <t>Türkçe karakter içermez (GA4 İngilizce döner)</t>
  </si>
  <si>
    <t>landingPagePlusQueryString</t>
  </si>
  <si>
    <t>Giriş sayfası URL</t>
  </si>
  <si>
    <t>/ veya /urun/kosu-ayakkabi-x1</t>
  </si>
  <si>
    <t>Query string dahil</t>
  </si>
  <si>
    <t>newVsReturning</t>
  </si>
  <si>
    <t>Yeni vs geri dönen</t>
  </si>
  <si>
    <t>new</t>
  </si>
  <si>
    <t>new, returning</t>
  </si>
  <si>
    <t>sessions</t>
  </si>
  <si>
    <t>INTEGER</t>
  </si>
  <si>
    <t>Metric</t>
  </si>
  <si>
    <t>Toplam oturum sayısı</t>
  </si>
  <si>
    <t>1250</t>
  </si>
  <si>
    <t>totalUsers</t>
  </si>
  <si>
    <t>Toplam tekil kullanıcı</t>
  </si>
  <si>
    <t>980</t>
  </si>
  <si>
    <t>newUsers</t>
  </si>
  <si>
    <t>Yeni kullanıcı sayısı</t>
  </si>
  <si>
    <t>620</t>
  </si>
  <si>
    <t>bounceRate</t>
  </si>
  <si>
    <t>FLOAT</t>
  </si>
  <si>
    <t>Hemen çıkma oranı</t>
  </si>
  <si>
    <t>0.453</t>
  </si>
  <si>
    <t>0-1 arası float döner (0.45 = %45)</t>
  </si>
  <si>
    <t>averageSessionDuration</t>
  </si>
  <si>
    <t>Ort. oturum süresi (saniye)</t>
  </si>
  <si>
    <t>185.4</t>
  </si>
  <si>
    <t>screenPageViewsPerSession</t>
  </si>
  <si>
    <t>Oturum başına sayfa</t>
  </si>
  <si>
    <t>3.2</t>
  </si>
  <si>
    <t>engagedSessions</t>
  </si>
  <si>
    <t>Etkileşimli oturum</t>
  </si>
  <si>
    <t>687</t>
  </si>
  <si>
    <t>10sn+, 2+ sayfa veya dönüşüm</t>
  </si>
  <si>
    <t>engagementRate</t>
  </si>
  <si>
    <t>Etkileşim oranı</t>
  </si>
  <si>
    <t>0.5496</t>
  </si>
  <si>
    <t>0-1 arası float</t>
  </si>
  <si>
    <t>userEngagementDuration</t>
  </si>
  <si>
    <t>Toplam etkileşim süresi (sn)</t>
  </si>
  <si>
    <t>231675.0</t>
  </si>
  <si>
    <t>conversions</t>
  </si>
  <si>
    <t>Key event (dönüşüm) sayısı</t>
  </si>
  <si>
    <t>28</t>
  </si>
  <si>
    <t>GA4'te artık "key events" olarak adlandırılıyor</t>
  </si>
  <si>
    <t>purchaseRevenue</t>
  </si>
  <si>
    <t>Satın alma geliri (TL)</t>
  </si>
  <si>
    <t>14500.00</t>
  </si>
  <si>
    <t>Account currency'ye bağlı</t>
  </si>
  <si>
    <t>transactions</t>
  </si>
  <si>
    <t>E-ticaret işlem sayısı</t>
  </si>
  <si>
    <t>25</t>
  </si>
  <si>
    <t>⚠ GA4 API'de bounceRate 0-1 arası float döner. Ads Manager gibi yüzde formatında değildir.</t>
  </si>
  <si>
    <t>⚠ Tarih formatı YYYYMMDD'dir (20250315), ISO formatı (2025-03-15) değildir.</t>
  </si>
  <si>
    <t>⚠ sessionSource/sessionMedium, event-scoped source/medium'dan farklıdır. Session-scoped tercih edilmelidir.</t>
  </si>
  <si>
    <t>GA4 — Ürün Bazlı E-Ticaret Etkileşim Raporu</t>
  </si>
  <si>
    <t>Kaynak: GA4 Data API v1 — Item-scoped dimensions &amp; metrics</t>
  </si>
  <si>
    <t>KRİTİK: Item-scoped boyutlar, session-scoped boyutlarla aynı sorguda BİRLEŞTİRİLEMEZ (GA4 API kısıtı)</t>
  </si>
  <si>
    <t>itemId</t>
  </si>
  <si>
    <t>Ürün/SKU kodu</t>
  </si>
  <si>
    <t>itemName</t>
  </si>
  <si>
    <t>Ürün adı</t>
  </si>
  <si>
    <t>itemCategory</t>
  </si>
  <si>
    <t>Ana kategori (1. seviye)</t>
  </si>
  <si>
    <t>Ayakkabı</t>
  </si>
  <si>
    <t>Ayakkabı, Giyim, Aksesuar, Ekipman</t>
  </si>
  <si>
    <t>itemCategory2</t>
  </si>
  <si>
    <t>Alt kategori (2. seviye)</t>
  </si>
  <si>
    <t>Koşu Ayakkabı, Futbol Krampon, Tişört vb.</t>
  </si>
  <si>
    <t>itemBrand</t>
  </si>
  <si>
    <t>Marka</t>
  </si>
  <si>
    <t>Nike, Adidas, Puma, Under Armour, New Balance</t>
  </si>
  <si>
    <t>itemsViewed</t>
  </si>
  <si>
    <t>Ürün detay görüntüleme (view_item)</t>
  </si>
  <si>
    <t>320</t>
  </si>
  <si>
    <t>itemsAddedToCart</t>
  </si>
  <si>
    <t>Sepete ekleme (add_to_cart)</t>
  </si>
  <si>
    <t>85</t>
  </si>
  <si>
    <t>itemsCheckedOut</t>
  </si>
  <si>
    <t>Ödeme başlatma (begin_checkout)</t>
  </si>
  <si>
    <t>42</t>
  </si>
  <si>
    <t>itemsPurchased</t>
  </si>
  <si>
    <t>Satın alınan adet (purchase)</t>
  </si>
  <si>
    <t>itemRevenue</t>
  </si>
  <si>
    <t>Ürün geliri (TL)</t>
  </si>
  <si>
    <t>8540.00</t>
  </si>
  <si>
    <t>itemListViews</t>
  </si>
  <si>
    <t>Listede görüntülenme (view_item_list)</t>
  </si>
  <si>
    <t>1450</t>
  </si>
  <si>
    <t>Kategori/arama sayfası</t>
  </si>
  <si>
    <t>itemListClicks</t>
  </si>
  <si>
    <t>Listeden tıklanma (select_item)</t>
  </si>
  <si>
    <t>290</t>
  </si>
  <si>
    <t>cartToViewRate</t>
  </si>
  <si>
    <t>Sepete ekleme / görüntüleme oranı</t>
  </si>
  <si>
    <t>0.2656</t>
  </si>
  <si>
    <t>0-1 arası</t>
  </si>
  <si>
    <t>Ürün Funnel Akışı: itemListViews → itemListClicks → itemsViewed → itemsAddedToCart → itemsCheckedOut → itemsPurchased</t>
  </si>
  <si>
    <t>Bu akış GA4'ün recommended e-commerce event'lerine birebir karşılık gelir.</t>
  </si>
  <si>
    <t>⚠ itemId, tüm platformlar arası ürün birleştirme anahtarıdır (= sku = item_id = product_item_id).</t>
  </si>
  <si>
    <t>Meta Ads — Reklam Performans Raporu</t>
  </si>
  <si>
    <t>Kaynak: Meta Marketing API — Insights API (/act_{id}/insights)</t>
  </si>
  <si>
    <t>Referans: https://developers.facebook.com/docs/marketing-api/insights/</t>
  </si>
  <si>
    <t>date_start</t>
  </si>
  <si>
    <t>STRING (YYYY-MM-DD)</t>
  </si>
  <si>
    <t>Temel Alan</t>
  </si>
  <si>
    <t>Rapor dönem başlangıcı</t>
  </si>
  <si>
    <t>2025-03-15</t>
  </si>
  <si>
    <t>date_stop</t>
  </si>
  <si>
    <t>Rapor dönem bitişi</t>
  </si>
  <si>
    <t>Günlük kırılımda date_start = date_stop</t>
  </si>
  <si>
    <t>account_id</t>
  </si>
  <si>
    <t>Reklam hesabı ID</t>
  </si>
  <si>
    <t>act_123456789</t>
  </si>
  <si>
    <t>account_name</t>
  </si>
  <si>
    <t>Reklam hesabı adı</t>
  </si>
  <si>
    <t>Sporthink TR</t>
  </si>
  <si>
    <t>campaign_id</t>
  </si>
  <si>
    <t>Kampanya ID</t>
  </si>
  <si>
    <t>23851234567890</t>
  </si>
  <si>
    <t>campaign_name</t>
  </si>
  <si>
    <t>Kampanya adı</t>
  </si>
  <si>
    <t>SP_Retargeting_Mart_2025</t>
  </si>
  <si>
    <t>campaigns tablosuyla join key</t>
  </si>
  <si>
    <t>adset_id</t>
  </si>
  <si>
    <t>Reklam seti ID</t>
  </si>
  <si>
    <t>23851234567891</t>
  </si>
  <si>
    <t>adset_name</t>
  </si>
  <si>
    <t>Reklam seti adı</t>
  </si>
  <si>
    <t>25-34_Erkek_Istanbul_Ilgi</t>
  </si>
  <si>
    <t>ad_id</t>
  </si>
  <si>
    <t>Reklam ID</t>
  </si>
  <si>
    <t>23851234567892</t>
  </si>
  <si>
    <t>ad_name</t>
  </si>
  <si>
    <t>Reklam adı</t>
  </si>
  <si>
    <t>Kosu_Ayakkabi_Video_V1</t>
  </si>
  <si>
    <t>objective</t>
  </si>
  <si>
    <t>Kampanya hedefi</t>
  </si>
  <si>
    <t>OUTCOME_SALES</t>
  </si>
  <si>
    <t>OUTCOME_SALES, OUTCOME_TRAFFIC, OUTCOME_AWARENESS, OUTCOME_ENGAGEMENT</t>
  </si>
  <si>
    <t>buying_type</t>
  </si>
  <si>
    <t>Satın alma türü</t>
  </si>
  <si>
    <t>AUCTION</t>
  </si>
  <si>
    <t>AUCTION, RESERVED</t>
  </si>
  <si>
    <t>impressions</t>
  </si>
  <si>
    <t>STRING→INT</t>
  </si>
  <si>
    <t>Metrik</t>
  </si>
  <si>
    <t>Gösterim sayısı</t>
  </si>
  <si>
    <t>45000</t>
  </si>
  <si>
    <t>Meta API tüm metrikleri STRING döner</t>
  </si>
  <si>
    <t>reach</t>
  </si>
  <si>
    <t>Benzersiz erişim</t>
  </si>
  <si>
    <t>32000</t>
  </si>
  <si>
    <t>frequency</t>
  </si>
  <si>
    <t>STRING→FLOAT</t>
  </si>
  <si>
    <t>Ort. gösterim frekansı</t>
  </si>
  <si>
    <t>1.41</t>
  </si>
  <si>
    <t>impressions / reach</t>
  </si>
  <si>
    <t>clicks</t>
  </si>
  <si>
    <t>Toplam tıklama (link+diğer)</t>
  </si>
  <si>
    <t>1500</t>
  </si>
  <si>
    <t>inline_link_clicks</t>
  </si>
  <si>
    <t>Bağlantı tıklaması</t>
  </si>
  <si>
    <t>1200</t>
  </si>
  <si>
    <t>Sadece link click</t>
  </si>
  <si>
    <t>spend</t>
  </si>
  <si>
    <t>Harcama (TL)</t>
  </si>
  <si>
    <t>3500.00</t>
  </si>
  <si>
    <t>Hesap para birimi</t>
  </si>
  <si>
    <t>cpc</t>
  </si>
  <si>
    <t>Tıklama başı maliyet</t>
  </si>
  <si>
    <t>2.33</t>
  </si>
  <si>
    <t>cpm</t>
  </si>
  <si>
    <t>Bin gösterim başı maliyet</t>
  </si>
  <si>
    <t>77.78</t>
  </si>
  <si>
    <t>cpp</t>
  </si>
  <si>
    <t>Bin kişiye ulaşım maliyeti</t>
  </si>
  <si>
    <t>109.38</t>
  </si>
  <si>
    <t>ctr</t>
  </si>
  <si>
    <t>Tıklama oranı (%)</t>
  </si>
  <si>
    <t>3.33</t>
  </si>
  <si>
    <t>Yüzde olarak döner (GA4'ten farklı)</t>
  </si>
  <si>
    <t>inline_link_click_ctr</t>
  </si>
  <si>
    <t>Bağlantı tıklama oranı (%)</t>
  </si>
  <si>
    <t>2.67</t>
  </si>
  <si>
    <t>actions:link_click</t>
  </si>
  <si>
    <t>Action</t>
  </si>
  <si>
    <t>actions array → action_type: link_click</t>
  </si>
  <si>
    <t>actions:landing_page_view</t>
  </si>
  <si>
    <t>Açılış sayfası görüntüleme</t>
  </si>
  <si>
    <t>actions array → action_type: landing_page_view</t>
  </si>
  <si>
    <t>actions:offsite_conversion.fb_pixel_view_content</t>
  </si>
  <si>
    <t>Ürün görüntüleme (Pixel)</t>
  </si>
  <si>
    <t>750</t>
  </si>
  <si>
    <t>Pixel event: ViewContent</t>
  </si>
  <si>
    <t>actions:offsite_conversion.fb_pixel_add_to_cart</t>
  </si>
  <si>
    <t>Sepete ekleme (Pixel)</t>
  </si>
  <si>
    <t>120</t>
  </si>
  <si>
    <t>Pixel event: AddToCart</t>
  </si>
  <si>
    <t>actions:offsite_conversion.fb_pixel_initiate_checkout</t>
  </si>
  <si>
    <t>Ödeme başlatma (Pixel)</t>
  </si>
  <si>
    <t>65</t>
  </si>
  <si>
    <t>Pixel event: InitiateCheckout</t>
  </si>
  <si>
    <t>actions:offsite_conversion.fb_pixel_purchase</t>
  </si>
  <si>
    <t>Satın alma (Pixel)</t>
  </si>
  <si>
    <t>35</t>
  </si>
  <si>
    <t>Pixel event: Purchase</t>
  </si>
  <si>
    <t>action_values:offsite_conversion.fb_pixel_purchase</t>
  </si>
  <si>
    <t>Action Value</t>
  </si>
  <si>
    <t>Satın alma gelir değeri (TL)</t>
  </si>
  <si>
    <t>18200.00</t>
  </si>
  <si>
    <t>Purchase value</t>
  </si>
  <si>
    <t>actions:page_engagement</t>
  </si>
  <si>
    <t>Sayfa etkileşimi</t>
  </si>
  <si>
    <t>250</t>
  </si>
  <si>
    <t>actions:post_engagement</t>
  </si>
  <si>
    <t>Gönderi etkileşimi</t>
  </si>
  <si>
    <t>180</t>
  </si>
  <si>
    <t>actions:video_view</t>
  </si>
  <si>
    <t>Video görüntüleme (3sn+)</t>
  </si>
  <si>
    <t>8500</t>
  </si>
  <si>
    <t>⚠ Meta API TÜM metrikleri STRING olarak döner. Dashboard'da INT/FLOAT'a dönüştürme gerekir.</t>
  </si>
  <si>
    <t>⚠ Dönüşümler 'actions' array'i altında nested JSON olarak gelir. Düz sütuna açılmalıdır.</t>
  </si>
  <si>
    <t>⚠ ctr yüzde olarak döner (3.33 = %3.33). GA4'ten farklıdır (GA4: 0.0333).</t>
  </si>
  <si>
    <t>⚠ Meta Ads'te doğrudan ürün bazlı ID dönmez. DPA kampanyalarında URL parametresinden mapping yapılabilir.</t>
  </si>
  <si>
    <t>Meta Ads — Breakdown (Kırılım) Alanları</t>
  </si>
  <si>
    <t>Insights API'de breakdowns parametresiyle ek boyutlar eklenir</t>
  </si>
  <si>
    <t>age</t>
  </si>
  <si>
    <t>Breakdown</t>
  </si>
  <si>
    <t>Yaş aralığı</t>
  </si>
  <si>
    <t>18-24</t>
  </si>
  <si>
    <t>18-24, 25-34, 35-44, 45-54, 55-64, 65+</t>
  </si>
  <si>
    <t>gender</t>
  </si>
  <si>
    <t>Cinsiyet</t>
  </si>
  <si>
    <t>male</t>
  </si>
  <si>
    <t>male, female, unknown</t>
  </si>
  <si>
    <t>publisher_platform</t>
  </si>
  <si>
    <t>Yayıncı platform</t>
  </si>
  <si>
    <t>facebook</t>
  </si>
  <si>
    <t>facebook, instagram, audience_network, messenger</t>
  </si>
  <si>
    <t>platform_position</t>
  </si>
  <si>
    <t>Yerleşim pozisyonu</t>
  </si>
  <si>
    <t>feed</t>
  </si>
  <si>
    <t>feed, story, reels, right_hand_column, marketplace, search, video_feeds, ig_explore, an_classic</t>
  </si>
  <si>
    <t>impression_device</t>
  </si>
  <si>
    <t>Gösterim cihazı</t>
  </si>
  <si>
    <t>mobile_app</t>
  </si>
  <si>
    <t>desktop, mobile_app, mobile_web</t>
  </si>
  <si>
    <t>country</t>
  </si>
  <si>
    <t>Ülke</t>
  </si>
  <si>
    <t>TR</t>
  </si>
  <si>
    <t>ISO ülke kodu</t>
  </si>
  <si>
    <t>region</t>
  </si>
  <si>
    <t>Bölge</t>
  </si>
  <si>
    <t>⚠ Her breakdown kombinasyonu ayrı satır oluşturur ve veri hacmini artırır.</t>
  </si>
  <si>
    <t>⚠ Tüm breakdown'lar aynı anda kullanılamaz (Meta API kısıtı).</t>
  </si>
  <si>
    <t>⚠ publisher_platform + platform_position birlikte kullanılabilir.</t>
  </si>
  <si>
    <t>⚠ age + gender ayrı rapor olarak çekilmelidir (birlikte reach 13 ay sınırı var).</t>
  </si>
  <si>
    <t>Google Ads — Kampanya ve Reklam Performans Raporu</t>
  </si>
  <si>
    <t>Kaynak: Google Ads API — GAQL (Google Ads Query Language)</t>
  </si>
  <si>
    <t>Referans: https://developers.google.com/google-ads/api/docs/reporting/overview</t>
  </si>
  <si>
    <t>segments.date</t>
  </si>
  <si>
    <t>Segment</t>
  </si>
  <si>
    <t>Tarih segmenti</t>
  </si>
  <si>
    <t>customer.id</t>
  </si>
  <si>
    <t>INT64</t>
  </si>
  <si>
    <t>Resource</t>
  </si>
  <si>
    <t>Müşteri (hesap) ID</t>
  </si>
  <si>
    <t>1234567890</t>
  </si>
  <si>
    <t>customer.descriptive_name</t>
  </si>
  <si>
    <t>Hesap adı</t>
  </si>
  <si>
    <t>campaign.id</t>
  </si>
  <si>
    <t>12345678901</t>
  </si>
  <si>
    <t>campaign.name</t>
  </si>
  <si>
    <t>SP_Search_KosuAyakkabi</t>
  </si>
  <si>
    <t>campaign.status</t>
  </si>
  <si>
    <t>ENUM</t>
  </si>
  <si>
    <t>Kampanya durumu</t>
  </si>
  <si>
    <t>ENABLED</t>
  </si>
  <si>
    <t>ENABLED, PAUSED, REMOVED</t>
  </si>
  <si>
    <t>campaign.advertising_channel_type</t>
  </si>
  <si>
    <t>Kanal tipi</t>
  </si>
  <si>
    <t>SEARCH</t>
  </si>
  <si>
    <t>SEARCH, SHOPPING, PERFORMANCE_MAX, DISPLAY, VIDEO</t>
  </si>
  <si>
    <t>ad_group.id</t>
  </si>
  <si>
    <t>Reklam grubu ID</t>
  </si>
  <si>
    <t>12345678902</t>
  </si>
  <si>
    <t>ad_group.name</t>
  </si>
  <si>
    <t>Reklam grubu adı</t>
  </si>
  <si>
    <t>Kosu_Ayakkabi_Exact</t>
  </si>
  <si>
    <t>ad_group.status</t>
  </si>
  <si>
    <t>Reklam grubu durumu</t>
  </si>
  <si>
    <t>segments.device</t>
  </si>
  <si>
    <t>Cihaz</t>
  </si>
  <si>
    <t>MOBILE</t>
  </si>
  <si>
    <t>MOBILE, DESKTOP, TABLET, OTHER</t>
  </si>
  <si>
    <t>segments.ad_network_type</t>
  </si>
  <si>
    <t>Reklam ağı</t>
  </si>
  <si>
    <t>SEARCH, SEARCH_PARTNERS, CONTENT, YOUTUBE_SEARCH, YOUTUBE_WATCH</t>
  </si>
  <si>
    <t>segments.conversion_action_name</t>
  </si>
  <si>
    <t>Dönüşüm aksiyonu adı</t>
  </si>
  <si>
    <t>Purchase</t>
  </si>
  <si>
    <t>Purchase, Add to Cart, Begin Checkout</t>
  </si>
  <si>
    <t>segments.product_item_id</t>
  </si>
  <si>
    <t>Shopping ürün ID</t>
  </si>
  <si>
    <t>Sadece Shopping/PMax kampanyalarında dolu; Search'te null</t>
  </si>
  <si>
    <t>segments.product_title</t>
  </si>
  <si>
    <t>Shopping ürün başlığı</t>
  </si>
  <si>
    <t>Sadece Shopping/PMax</t>
  </si>
  <si>
    <t>segments.product_brand</t>
  </si>
  <si>
    <t>Shopping ürün markası</t>
  </si>
  <si>
    <t>segments.product_type_l1</t>
  </si>
  <si>
    <t>Ürün tipi seviye 1</t>
  </si>
  <si>
    <t>segments.product_type_l2</t>
  </si>
  <si>
    <t>Ürün tipi seviye 2</t>
  </si>
  <si>
    <t>ad_group_criterion.keyword.text</t>
  </si>
  <si>
    <t>Keyword</t>
  </si>
  <si>
    <t>Anahtar kelime metni</t>
  </si>
  <si>
    <t>koşu ayakkabısı</t>
  </si>
  <si>
    <t>Sadece Search kampanyalarında</t>
  </si>
  <si>
    <t>ad_group_criterion.keyword.match_type</t>
  </si>
  <si>
    <t>Eşleme türü</t>
  </si>
  <si>
    <t>EXACT</t>
  </si>
  <si>
    <t>EXACT, PHRASE, BROAD</t>
  </si>
  <si>
    <t>search_term_view.search_term</t>
  </si>
  <si>
    <t>Gerçek arama terimi</t>
  </si>
  <si>
    <t>metrics.impressions</t>
  </si>
  <si>
    <t>metrics.clicks</t>
  </si>
  <si>
    <t>Tıklama sayısı</t>
  </si>
  <si>
    <t>890</t>
  </si>
  <si>
    <t>metrics.cost_micros</t>
  </si>
  <si>
    <t>Harcama (mikro birim)</t>
  </si>
  <si>
    <t>2800000000</t>
  </si>
  <si>
    <t>1 TL = 1.000.000 mikro. 2800 TL = 2800000000</t>
  </si>
  <si>
    <t>metrics.ctr</t>
  </si>
  <si>
    <t>DOUBLE</t>
  </si>
  <si>
    <t>Tıklama oranı</t>
  </si>
  <si>
    <t>0.0278</t>
  </si>
  <si>
    <t>0-1 arası (GA4 ile aynı format)</t>
  </si>
  <si>
    <t>metrics.average_cpc</t>
  </si>
  <si>
    <t>Ort. tıklama başı maliyet (mikro)</t>
  </si>
  <si>
    <t>3146067</t>
  </si>
  <si>
    <t>Mikro birim</t>
  </si>
  <si>
    <t>metrics.average_cpm</t>
  </si>
  <si>
    <t>Bin gösterim başı maliyet (mikro)</t>
  </si>
  <si>
    <t>87500000</t>
  </si>
  <si>
    <t>metrics.conversions</t>
  </si>
  <si>
    <t>Dönüşüm sayısı</t>
  </si>
  <si>
    <t>42.0</t>
  </si>
  <si>
    <t>Float olarak döner</t>
  </si>
  <si>
    <t>metrics.conversions_value</t>
  </si>
  <si>
    <t>Toplam dönüşüm değeri (TL)</t>
  </si>
  <si>
    <t>22500.0</t>
  </si>
  <si>
    <t>metrics.all_conversions</t>
  </si>
  <si>
    <t>Tüm dönüşümler (cross-device dahil)</t>
  </si>
  <si>
    <t>48.0</t>
  </si>
  <si>
    <t>metrics.all_conversions_value</t>
  </si>
  <si>
    <t>Tüm dönüşüm değeri</t>
  </si>
  <si>
    <t>25800.0</t>
  </si>
  <si>
    <t>metrics.cost_per_conversion</t>
  </si>
  <si>
    <t>Dönüşüm başı maliyet (mikro)</t>
  </si>
  <si>
    <t>66666667</t>
  </si>
  <si>
    <t>metrics.conversions_from_interactions_rate</t>
  </si>
  <si>
    <t>Etkileşim dönüşüm oranı</t>
  </si>
  <si>
    <t>0.0472</t>
  </si>
  <si>
    <t>metrics.value_per_conversion</t>
  </si>
  <si>
    <t>Dönüşüm başı değer (TL)</t>
  </si>
  <si>
    <t>535.71</t>
  </si>
  <si>
    <t>metrics.search_impression_share</t>
  </si>
  <si>
    <t>Arama gösterim payı</t>
  </si>
  <si>
    <t>0.65</t>
  </si>
  <si>
    <t>0-1 arası; null olabilir</t>
  </si>
  <si>
    <t>metrics.search_budget_lost_impression_share</t>
  </si>
  <si>
    <t>Bütçe kaynaklı kayıp gösterim payı</t>
  </si>
  <si>
    <t>0.12</t>
  </si>
  <si>
    <t>metrics.search_rank_lost_impression_share</t>
  </si>
  <si>
    <t>Sıralama kaynaklı kayıp gösterim payı</t>
  </si>
  <si>
    <t>0.23</t>
  </si>
  <si>
    <t>metrics.view_through_conversions</t>
  </si>
  <si>
    <t>Görüntüleyerek dönüşüm</t>
  </si>
  <si>
    <t>5</t>
  </si>
  <si>
    <t>metrics.interaction_rate</t>
  </si>
  <si>
    <t>⚠ KRİTİK — cost_micros: Google Ads API tüm maliyet metriklerini MİKRO BİRİM (1/1.000.000) olarak döner.</t>
  </si>
  <si>
    <t>⚠ 2.800 TL harcama = 2800000000 micro. Dashboard'da /1000000 dönüşümü yapılmalıdır.</t>
  </si>
  <si>
    <t>⚠ Shopping/PMax Ürün Verileri: segments.product_item_id sadece Shopping ve PMax kampanyalarında dolu gelir.</t>
  </si>
  <si>
    <t>⚠ Search kampanyalarında product_item_id null olur, keyword alanları dolu olur.</t>
  </si>
  <si>
    <t>E-Ticaret — Sipariş Başlık Tablosu (orders)</t>
  </si>
  <si>
    <t>Kaynak: sporthink.com.tr e-ticaret veritabanı</t>
  </si>
  <si>
    <t>Field Name</t>
  </si>
  <si>
    <t>Zorunlu</t>
  </si>
  <si>
    <t>order_id</t>
  </si>
  <si>
    <t>Evet (PK)</t>
  </si>
  <si>
    <t>Sipariş numarası (unique)</t>
  </si>
  <si>
    <t>SP-2025-00142</t>
  </si>
  <si>
    <t>order_date</t>
  </si>
  <si>
    <t>DATETIME</t>
  </si>
  <si>
    <t>Evet</t>
  </si>
  <si>
    <t>Sipariş tarihi</t>
  </si>
  <si>
    <t>2025-03-15 14:23:00</t>
  </si>
  <si>
    <t>customer_id</t>
  </si>
  <si>
    <t>Evet (FK)</t>
  </si>
  <si>
    <t>Müşteri numarası</t>
  </si>
  <si>
    <t>CUST-00385</t>
  </si>
  <si>
    <t>→ customers tablosuna FK</t>
  </si>
  <si>
    <t>Teslimat şehri</t>
  </si>
  <si>
    <t>Türkiye büyükşehirleri ağırlıklı</t>
  </si>
  <si>
    <t>device</t>
  </si>
  <si>
    <t>Sipariş cihazı</t>
  </si>
  <si>
    <t>channel</t>
  </si>
  <si>
    <t>Attribution kanalı</t>
  </si>
  <si>
    <t>GA4 sessionDefaultChannelGroup ile uyumlu</t>
  </si>
  <si>
    <t>source</t>
  </si>
  <si>
    <t>Trafik kaynağı</t>
  </si>
  <si>
    <t>GA4 sessionSource ile uyumlu</t>
  </si>
  <si>
    <t>medium</t>
  </si>
  <si>
    <t>Trafik ortamı</t>
  </si>
  <si>
    <t>GA4 sessionMedium ile uyumlu</t>
  </si>
  <si>
    <t>Hayır</t>
  </si>
  <si>
    <t>İlişkili kampanya</t>
  </si>
  <si>
    <t>Nullable; direct/organic trafikte null</t>
  </si>
  <si>
    <t>coupon_code</t>
  </si>
  <si>
    <t>Kupon kodu</t>
  </si>
  <si>
    <t>BAHAR25</t>
  </si>
  <si>
    <t>Nullable</t>
  </si>
  <si>
    <t>product_count</t>
  </si>
  <si>
    <t>Toplam ürün adedi</t>
  </si>
  <si>
    <t>3</t>
  </si>
  <si>
    <t>order_revenue</t>
  </si>
  <si>
    <t>Sipariş toplam tutarı (TL)</t>
  </si>
  <si>
    <t>1250.00</t>
  </si>
  <si>
    <t>shipping_cost</t>
  </si>
  <si>
    <t>Kargo ücreti (TL)</t>
  </si>
  <si>
    <t>29.90</t>
  </si>
  <si>
    <t>discount_amount</t>
  </si>
  <si>
    <t>Toplam indirim tutarı (TL)</t>
  </si>
  <si>
    <t>125.00</t>
  </si>
  <si>
    <t>refund_amount</t>
  </si>
  <si>
    <t>İade tutarı (TL)</t>
  </si>
  <si>
    <t>0.00</t>
  </si>
  <si>
    <t>İade yoksa 0</t>
  </si>
  <si>
    <t>net_revenue</t>
  </si>
  <si>
    <t>Net gelir (TL)</t>
  </si>
  <si>
    <t>1125.00</t>
  </si>
  <si>
    <t>order_revenue - discount - refund</t>
  </si>
  <si>
    <t>order_status</t>
  </si>
  <si>
    <t>Sipariş durumu</t>
  </si>
  <si>
    <t>completed</t>
  </si>
  <si>
    <t>completed, cancelled, refunded, pending, shipped</t>
  </si>
  <si>
    <t>payment_method</t>
  </si>
  <si>
    <t>Ödeme yöntemi</t>
  </si>
  <si>
    <t>credit_card</t>
  </si>
  <si>
    <t>credit_card, debit_card, bank_transfer, pay_at_door</t>
  </si>
  <si>
    <t>⚠ channel, source, medium alanları GA4 trafik verileriyle uyumlu olmalıdır.</t>
  </si>
  <si>
    <t>⚠ campaign_name alanı Meta Ads ve Google Ads kampanya adlarıyla eşleşmelidir.</t>
  </si>
  <si>
    <t>E-Ticaret — Sipariş Kalemleri Tablosu (order_items)</t>
  </si>
  <si>
    <t>İlişki: order_id → orders tablosuna FK</t>
  </si>
  <si>
    <t>Sipariş no</t>
  </si>
  <si>
    <t>→ orders tablosuna FK</t>
  </si>
  <si>
    <t>line_id</t>
  </si>
  <si>
    <t>Satır sıra numarası</t>
  </si>
  <si>
    <t>1</t>
  </si>
  <si>
    <t>Her sipariş içinde sıralı</t>
  </si>
  <si>
    <t>item_id</t>
  </si>
  <si>
    <t>Stok kodu</t>
  </si>
  <si>
    <t>item_name</t>
  </si>
  <si>
    <t>item_category</t>
  </si>
  <si>
    <t>Ana kategori</t>
  </si>
  <si>
    <t>item_category2</t>
  </si>
  <si>
    <t>Alt kategori</t>
  </si>
  <si>
    <t>item_brand</t>
  </si>
  <si>
    <t>quantity</t>
  </si>
  <si>
    <t>Adet</t>
  </si>
  <si>
    <t>unit_price</t>
  </si>
  <si>
    <t>Birim fiyat (TL)</t>
  </si>
  <si>
    <t>2499.00</t>
  </si>
  <si>
    <t>line_total</t>
  </si>
  <si>
    <t>Satır toplamı (TL)</t>
  </si>
  <si>
    <t>quantity × unit_price</t>
  </si>
  <si>
    <t>Satır indirimi (TL)</t>
  </si>
  <si>
    <t>249.90</t>
  </si>
  <si>
    <t>Satır iade tutarı (TL)</t>
  </si>
  <si>
    <t>⚠ item_id TÜM PLATFORMLAR ARASI BİRLEŞTİRME ANAHTARIDIR:</t>
  </si>
  <si>
    <t xml:space="preserve">   GA4 itemId ↔ item_id | Google Ads segments.product_item_id ↔ item_id | products.sku ↔ item_id</t>
  </si>
  <si>
    <t>Ürün Master Tablosu (products)</t>
  </si>
  <si>
    <t>Ürün kataloğu — Tüm platformlardaki sku/itemId/product_item_id bu tabloya referans verir</t>
  </si>
  <si>
    <t>sku</t>
  </si>
  <si>
    <t>product_name</t>
  </si>
  <si>
    <t>Google Shopping feed title ile uyumlu</t>
  </si>
  <si>
    <t>category</t>
  </si>
  <si>
    <t>sub_category</t>
  </si>
  <si>
    <t>brand</t>
  </si>
  <si>
    <t>Cinsiyet hedeflemesi</t>
  </si>
  <si>
    <t>Erkek</t>
  </si>
  <si>
    <t>Erkek, Kadın, Unisex</t>
  </si>
  <si>
    <t>price</t>
  </si>
  <si>
    <t>Satış fiyatı (TL)</t>
  </si>
  <si>
    <t>cost_price</t>
  </si>
  <si>
    <t>Maliyet fiyatı (TL)</t>
  </si>
  <si>
    <t>1499.00</t>
  </si>
  <si>
    <t>Kâr marjı analizi için</t>
  </si>
  <si>
    <t>stock_quantity</t>
  </si>
  <si>
    <t>Mevcut stok adedi</t>
  </si>
  <si>
    <t>145</t>
  </si>
  <si>
    <t>is_active</t>
  </si>
  <si>
    <t>BOOLEAN</t>
  </si>
  <si>
    <t>Aktif satışta mı</t>
  </si>
  <si>
    <t>true</t>
  </si>
  <si>
    <t>true, false</t>
  </si>
  <si>
    <t>created_at</t>
  </si>
  <si>
    <t>DATE</t>
  </si>
  <si>
    <t>Ürün oluşturma tarihi</t>
  </si>
  <si>
    <t>2024-09-15</t>
  </si>
  <si>
    <t>color</t>
  </si>
  <si>
    <t>Renk</t>
  </si>
  <si>
    <t>Siyah/Beyaz</t>
  </si>
  <si>
    <t>size_range</t>
  </si>
  <si>
    <t>Beden aralığı</t>
  </si>
  <si>
    <t>38-46</t>
  </si>
  <si>
    <t>Ayakkabı: 36-46, Giyim: S-XL</t>
  </si>
  <si>
    <t>Müşteri Tablosu (customers)</t>
  </si>
  <si>
    <t>Cohort analizi ve retention hesaplamaları için gerekli</t>
  </si>
  <si>
    <t>→ orders.customer_id ile FK</t>
  </si>
  <si>
    <t>first_order_date</t>
  </si>
  <si>
    <t>İlk sipariş tarihi</t>
  </si>
  <si>
    <t>2024-11-20</t>
  </si>
  <si>
    <t>Cohort belirleme için</t>
  </si>
  <si>
    <t>registration_date</t>
  </si>
  <si>
    <t>Kayıt tarihi</t>
  </si>
  <si>
    <t>2024-11-18</t>
  </si>
  <si>
    <t>Şehir</t>
  </si>
  <si>
    <t>M</t>
  </si>
  <si>
    <t>M, F</t>
  </si>
  <si>
    <t>age_group</t>
  </si>
  <si>
    <t>Yaş grubu</t>
  </si>
  <si>
    <t>25-34</t>
  </si>
  <si>
    <t>18-24, 25-34, 35-44, 45-54, 55+</t>
  </si>
  <si>
    <t>registration_source</t>
  </si>
  <si>
    <t>Kayıt kanalı</t>
  </si>
  <si>
    <t>Organic Search, Paid Social, Direct, Email</t>
  </si>
  <si>
    <t>is_newsletter_subscriber</t>
  </si>
  <si>
    <t>Newsletter abonesi mi</t>
  </si>
  <si>
    <t>total_orders</t>
  </si>
  <si>
    <t>Toplam sipariş sayısı</t>
  </si>
  <si>
    <t>4</t>
  </si>
  <si>
    <t>Repeat purchase rate hesabı için</t>
  </si>
  <si>
    <t>total_revenue</t>
  </si>
  <si>
    <t>Toplam harcama (TL)</t>
  </si>
  <si>
    <t>5890.00</t>
  </si>
  <si>
    <t>CLV hesabı için</t>
  </si>
  <si>
    <t>last_order_date</t>
  </si>
  <si>
    <t>Son sipariş tarihi</t>
  </si>
  <si>
    <t>2025-03-10</t>
  </si>
  <si>
    <t>Recency hesabı için</t>
  </si>
  <si>
    <t>Kampanya Master Tablosu (campaigns)</t>
  </si>
  <si>
    <t>Meta ve Google Ads kampanya metadata — campaign_name ile diğer tablolara bağlanır</t>
  </si>
  <si>
    <t>Diğer tüm tablolarla join key</t>
  </si>
  <si>
    <t>platform</t>
  </si>
  <si>
    <t>Platform</t>
  </si>
  <si>
    <t>meta</t>
  </si>
  <si>
    <t>meta, google</t>
  </si>
  <si>
    <t>campaign_type</t>
  </si>
  <si>
    <t>Kampanya türü</t>
  </si>
  <si>
    <t>Meta: OUTCOME_SALES/TRAFFIC/AWARENESS | Google: SEARCH/SHOPPING/PERFORMANCE_MAX</t>
  </si>
  <si>
    <t>İş hedefi</t>
  </si>
  <si>
    <t>Conversion</t>
  </si>
  <si>
    <t>Awareness, Traffic, Conversion, Retargeting</t>
  </si>
  <si>
    <t>start_date</t>
  </si>
  <si>
    <t>Başlangıç tarihi</t>
  </si>
  <si>
    <t>2025-03-01</t>
  </si>
  <si>
    <t>end_date</t>
  </si>
  <si>
    <t>Bitiş tarihi</t>
  </si>
  <si>
    <t>2025-03-31</t>
  </si>
  <si>
    <t>daily_budget</t>
  </si>
  <si>
    <t>Günlük bütçe (TL)</t>
  </si>
  <si>
    <t>500.00</t>
  </si>
  <si>
    <t>total_budget</t>
  </si>
  <si>
    <t>Toplam bütçe (TL)</t>
  </si>
  <si>
    <t>15000.00</t>
  </si>
  <si>
    <t>target_audience</t>
  </si>
  <si>
    <t>Hedef kitle açıklaması</t>
  </si>
  <si>
    <t>25-44 Erkek, Spor İlgilenen</t>
  </si>
  <si>
    <t>status</t>
  </si>
  <si>
    <t>Durum</t>
  </si>
  <si>
    <t>active</t>
  </si>
  <si>
    <t>active, paused, completed</t>
  </si>
  <si>
    <t>Kanal Eşleme Tablosu (channel_mapping)</t>
  </si>
  <si>
    <t>source + medium → channel_group normalizasyonu</t>
  </si>
  <si>
    <t>channel_group</t>
  </si>
  <si>
    <t>Paid Search</t>
  </si>
  <si>
    <t>bing</t>
  </si>
  <si>
    <t>Paid Social</t>
  </si>
  <si>
    <t>social</t>
  </si>
  <si>
    <t>Organic Social</t>
  </si>
  <si>
    <t>instagram</t>
  </si>
  <si>
    <t>(direct)</t>
  </si>
  <si>
    <t>(none)</t>
  </si>
  <si>
    <t>Direct</t>
  </si>
  <si>
    <t>newsletter</t>
  </si>
  <si>
    <t>email</t>
  </si>
  <si>
    <t>Email</t>
  </si>
  <si>
    <t>blog.sporthink.com.tr</t>
  </si>
  <si>
    <t>referral</t>
  </si>
  <si>
    <t>Referral</t>
  </si>
  <si>
    <t>trendyol.com</t>
  </si>
  <si>
    <t>youtube.com</t>
  </si>
  <si>
    <t>Paid Video</t>
  </si>
  <si>
    <t>Organic Video</t>
  </si>
  <si>
    <t>Puma St Runner V3 L Siyah Koşu Ayakkabısı</t>
  </si>
  <si>
    <t>Koşu Ayakkabısı</t>
  </si>
  <si>
    <t>Puma</t>
  </si>
  <si>
    <t>puma koşu ayakkabısı erkek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</si>
</sst>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1F4E79"/>
      <name val="Arial"/>
    </font>
    <font>
      <i/>
      <sz val="9"/>
      <color rgb="FF666666"/>
      <name val="Arial"/>
    </font>
    <font>
      <b/>
      <sz val="10"/>
      <color rgb="FFFFFFFF"/>
      <name val="Arial"/>
    </font>
    <font>
      <sz val="10"/>
      <name val="Arial"/>
    </font>
    <font>
      <b/>
      <i/>
      <sz val="9"/>
      <color rgb="FFCC0000"/>
      <name val="Arial"/>
    </font>
    <font>
      <b/>
      <sz val="10"/>
      <color rgb="FF2E7D32"/>
      <name val="Arial"/>
    </font>
    <font>
      <sz val="10"/>
      <name val="Arial"/>
      <family val="2"/>
      <charset val="162"/>
    </font>
  </fonts>
  <fills count="5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FFF2CC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5" fillId="0" borderId="0" xfId="0" applyFont="1"/>
    <xf numFmtId="0" fontId="6" fillId="4" borderId="1" xfId="0" applyFont="1" applyFill="1" applyBorder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0" fillId="0" borderId="0" xfId="0"/>
    <xf numFmtId="0" fontId="1" fillId="0" borderId="0" xfId="0" applyFont="1"/>
    <xf numFmtId="0" fontId="7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285F4"/>
  </sheetPr>
  <dimension ref="A1:F30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32" customWidth="1"/>
    <col min="2" max="2" width="22" customWidth="1"/>
    <col min="3" max="3" width="12" customWidth="1"/>
    <col min="4" max="4" width="35" customWidth="1"/>
    <col min="5" max="5" width="30" customWidth="1"/>
    <col min="6" max="6" width="45" customWidth="1"/>
  </cols>
  <sheetData>
    <row r="1" spans="1:6" ht="17.399999999999999" x14ac:dyDescent="0.3">
      <c r="A1" s="8" t="s">
        <v>0</v>
      </c>
      <c r="B1" s="7"/>
      <c r="C1" s="7"/>
      <c r="D1" s="7"/>
      <c r="E1" s="7"/>
      <c r="F1" s="7"/>
    </row>
    <row r="2" spans="1:6" x14ac:dyDescent="0.3">
      <c r="A2" s="1" t="s">
        <v>1</v>
      </c>
    </row>
    <row r="3" spans="1:6" x14ac:dyDescent="0.3">
      <c r="A3" s="1" t="s">
        <v>2</v>
      </c>
    </row>
    <row r="5" spans="1:6" x14ac:dyDescent="0.3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</row>
    <row r="6" spans="1:6" x14ac:dyDescent="0.3">
      <c r="A6" s="3" t="s">
        <v>9</v>
      </c>
      <c r="B6" s="3" t="s">
        <v>10</v>
      </c>
      <c r="C6" s="3" t="s">
        <v>11</v>
      </c>
      <c r="D6" s="3" t="s">
        <v>12</v>
      </c>
      <c r="E6" s="3" t="s">
        <v>13</v>
      </c>
      <c r="F6" s="3" t="s">
        <v>14</v>
      </c>
    </row>
    <row r="7" spans="1:6" x14ac:dyDescent="0.3">
      <c r="A7" s="3" t="s">
        <v>15</v>
      </c>
      <c r="B7" s="3" t="s">
        <v>16</v>
      </c>
      <c r="C7" s="3" t="s">
        <v>11</v>
      </c>
      <c r="D7" s="3" t="s">
        <v>17</v>
      </c>
      <c r="E7" s="3" t="s">
        <v>18</v>
      </c>
      <c r="F7" s="3" t="s">
        <v>19</v>
      </c>
    </row>
    <row r="8" spans="1:6" x14ac:dyDescent="0.3">
      <c r="A8" s="3" t="s">
        <v>20</v>
      </c>
      <c r="B8" s="3" t="s">
        <v>16</v>
      </c>
      <c r="C8" s="3" t="s">
        <v>11</v>
      </c>
      <c r="D8" s="3" t="s">
        <v>21</v>
      </c>
      <c r="E8" s="3" t="s">
        <v>22</v>
      </c>
      <c r="F8" s="3" t="s">
        <v>23</v>
      </c>
    </row>
    <row r="9" spans="1:6" x14ac:dyDescent="0.3">
      <c r="A9" s="3" t="s">
        <v>24</v>
      </c>
      <c r="B9" s="3" t="s">
        <v>16</v>
      </c>
      <c r="C9" s="3" t="s">
        <v>11</v>
      </c>
      <c r="D9" s="3" t="s">
        <v>25</v>
      </c>
      <c r="E9" s="3" t="s">
        <v>26</v>
      </c>
      <c r="F9" s="3" t="s">
        <v>27</v>
      </c>
    </row>
    <row r="10" spans="1:6" ht="26.4" x14ac:dyDescent="0.3">
      <c r="A10" s="3" t="s">
        <v>28</v>
      </c>
      <c r="B10" s="3" t="s">
        <v>16</v>
      </c>
      <c r="C10" s="3" t="s">
        <v>11</v>
      </c>
      <c r="D10" s="3" t="s">
        <v>29</v>
      </c>
      <c r="E10" s="3" t="s">
        <v>30</v>
      </c>
      <c r="F10" s="3" t="s">
        <v>31</v>
      </c>
    </row>
    <row r="11" spans="1:6" x14ac:dyDescent="0.3">
      <c r="A11" s="3" t="s">
        <v>32</v>
      </c>
      <c r="B11" s="3" t="s">
        <v>16</v>
      </c>
      <c r="C11" s="3" t="s">
        <v>11</v>
      </c>
      <c r="D11" s="3" t="s">
        <v>33</v>
      </c>
      <c r="E11" s="3" t="s">
        <v>34</v>
      </c>
      <c r="F11" s="3" t="s">
        <v>35</v>
      </c>
    </row>
    <row r="12" spans="1:6" x14ac:dyDescent="0.3">
      <c r="A12" s="3" t="s">
        <v>36</v>
      </c>
      <c r="B12" s="3" t="s">
        <v>16</v>
      </c>
      <c r="C12" s="3" t="s">
        <v>11</v>
      </c>
      <c r="D12" s="3" t="s">
        <v>37</v>
      </c>
      <c r="E12" s="3" t="s">
        <v>38</v>
      </c>
      <c r="F12" s="3" t="s">
        <v>39</v>
      </c>
    </row>
    <row r="13" spans="1:6" x14ac:dyDescent="0.3">
      <c r="A13" s="3" t="s">
        <v>40</v>
      </c>
      <c r="B13" s="3" t="s">
        <v>16</v>
      </c>
      <c r="C13" s="3" t="s">
        <v>11</v>
      </c>
      <c r="D13" s="3" t="s">
        <v>41</v>
      </c>
      <c r="E13" s="3" t="s">
        <v>42</v>
      </c>
      <c r="F13" s="3" t="s">
        <v>43</v>
      </c>
    </row>
    <row r="14" spans="1:6" x14ac:dyDescent="0.3">
      <c r="A14" s="3" t="s">
        <v>44</v>
      </c>
      <c r="B14" s="3" t="s">
        <v>16</v>
      </c>
      <c r="C14" s="3" t="s">
        <v>11</v>
      </c>
      <c r="D14" s="3" t="s">
        <v>45</v>
      </c>
      <c r="E14" s="3" t="s">
        <v>46</v>
      </c>
      <c r="F14" s="3" t="s">
        <v>47</v>
      </c>
    </row>
    <row r="15" spans="1:6" x14ac:dyDescent="0.3">
      <c r="A15" s="3" t="s">
        <v>48</v>
      </c>
      <c r="B15" s="3" t="s">
        <v>49</v>
      </c>
      <c r="C15" s="3" t="s">
        <v>50</v>
      </c>
      <c r="D15" s="3" t="s">
        <v>51</v>
      </c>
      <c r="E15" s="3" t="s">
        <v>52</v>
      </c>
      <c r="F15" s="3"/>
    </row>
    <row r="16" spans="1:6" x14ac:dyDescent="0.3">
      <c r="A16" s="3" t="s">
        <v>53</v>
      </c>
      <c r="B16" s="3" t="s">
        <v>49</v>
      </c>
      <c r="C16" s="3" t="s">
        <v>50</v>
      </c>
      <c r="D16" s="3" t="s">
        <v>54</v>
      </c>
      <c r="E16" s="3" t="s">
        <v>55</v>
      </c>
      <c r="F16" s="3"/>
    </row>
    <row r="17" spans="1:6" x14ac:dyDescent="0.3">
      <c r="A17" s="3" t="s">
        <v>56</v>
      </c>
      <c r="B17" s="3" t="s">
        <v>49</v>
      </c>
      <c r="C17" s="3" t="s">
        <v>50</v>
      </c>
      <c r="D17" s="3" t="s">
        <v>57</v>
      </c>
      <c r="E17" s="3" t="s">
        <v>58</v>
      </c>
      <c r="F17" s="3"/>
    </row>
    <row r="18" spans="1:6" x14ac:dyDescent="0.3">
      <c r="A18" s="3" t="s">
        <v>59</v>
      </c>
      <c r="B18" s="3" t="s">
        <v>60</v>
      </c>
      <c r="C18" s="3" t="s">
        <v>50</v>
      </c>
      <c r="D18" s="3" t="s">
        <v>61</v>
      </c>
      <c r="E18" s="3" t="s">
        <v>62</v>
      </c>
      <c r="F18" s="3" t="s">
        <v>63</v>
      </c>
    </row>
    <row r="19" spans="1:6" x14ac:dyDescent="0.3">
      <c r="A19" s="3" t="s">
        <v>64</v>
      </c>
      <c r="B19" s="3" t="s">
        <v>60</v>
      </c>
      <c r="C19" s="3" t="s">
        <v>50</v>
      </c>
      <c r="D19" s="3" t="s">
        <v>65</v>
      </c>
      <c r="E19" s="3" t="s">
        <v>66</v>
      </c>
      <c r="F19" s="3"/>
    </row>
    <row r="20" spans="1:6" x14ac:dyDescent="0.3">
      <c r="A20" s="3" t="s">
        <v>67</v>
      </c>
      <c r="B20" s="3" t="s">
        <v>60</v>
      </c>
      <c r="C20" s="3" t="s">
        <v>50</v>
      </c>
      <c r="D20" s="3" t="s">
        <v>68</v>
      </c>
      <c r="E20" s="3" t="s">
        <v>69</v>
      </c>
      <c r="F20" s="3"/>
    </row>
    <row r="21" spans="1:6" x14ac:dyDescent="0.3">
      <c r="A21" s="3" t="s">
        <v>70</v>
      </c>
      <c r="B21" s="3" t="s">
        <v>49</v>
      </c>
      <c r="C21" s="3" t="s">
        <v>50</v>
      </c>
      <c r="D21" s="3" t="s">
        <v>71</v>
      </c>
      <c r="E21" s="3" t="s">
        <v>72</v>
      </c>
      <c r="F21" s="3" t="s">
        <v>73</v>
      </c>
    </row>
    <row r="22" spans="1:6" x14ac:dyDescent="0.3">
      <c r="A22" s="3" t="s">
        <v>74</v>
      </c>
      <c r="B22" s="3" t="s">
        <v>60</v>
      </c>
      <c r="C22" s="3" t="s">
        <v>50</v>
      </c>
      <c r="D22" s="3" t="s">
        <v>75</v>
      </c>
      <c r="E22" s="3" t="s">
        <v>76</v>
      </c>
      <c r="F22" s="3" t="s">
        <v>77</v>
      </c>
    </row>
    <row r="23" spans="1:6" x14ac:dyDescent="0.3">
      <c r="A23" s="3" t="s">
        <v>78</v>
      </c>
      <c r="B23" s="3" t="s">
        <v>60</v>
      </c>
      <c r="C23" s="3" t="s">
        <v>50</v>
      </c>
      <c r="D23" s="3" t="s">
        <v>79</v>
      </c>
      <c r="E23" s="3" t="s">
        <v>80</v>
      </c>
      <c r="F23" s="3"/>
    </row>
    <row r="24" spans="1:6" x14ac:dyDescent="0.3">
      <c r="A24" s="3" t="s">
        <v>81</v>
      </c>
      <c r="B24" s="3" t="s">
        <v>49</v>
      </c>
      <c r="C24" s="3" t="s">
        <v>50</v>
      </c>
      <c r="D24" s="3" t="s">
        <v>82</v>
      </c>
      <c r="E24" s="3" t="s">
        <v>83</v>
      </c>
      <c r="F24" s="3" t="s">
        <v>84</v>
      </c>
    </row>
    <row r="25" spans="1:6" x14ac:dyDescent="0.3">
      <c r="A25" s="3" t="s">
        <v>85</v>
      </c>
      <c r="B25" s="3" t="s">
        <v>60</v>
      </c>
      <c r="C25" s="3" t="s">
        <v>50</v>
      </c>
      <c r="D25" s="3" t="s">
        <v>86</v>
      </c>
      <c r="E25" s="3" t="s">
        <v>87</v>
      </c>
      <c r="F25" s="3" t="s">
        <v>88</v>
      </c>
    </row>
    <row r="26" spans="1:6" x14ac:dyDescent="0.3">
      <c r="A26" s="3" t="s">
        <v>89</v>
      </c>
      <c r="B26" s="3" t="s">
        <v>49</v>
      </c>
      <c r="C26" s="3" t="s">
        <v>50</v>
      </c>
      <c r="D26" s="3" t="s">
        <v>90</v>
      </c>
      <c r="E26" s="3" t="s">
        <v>91</v>
      </c>
      <c r="F26" s="3"/>
    </row>
    <row r="28" spans="1:6" x14ac:dyDescent="0.3">
      <c r="A28" s="6" t="s">
        <v>92</v>
      </c>
      <c r="B28" s="7"/>
      <c r="C28" s="7"/>
      <c r="D28" s="7"/>
      <c r="E28" s="7"/>
      <c r="F28" s="7"/>
    </row>
    <row r="29" spans="1:6" x14ac:dyDescent="0.3">
      <c r="A29" s="6" t="s">
        <v>93</v>
      </c>
      <c r="B29" s="7"/>
      <c r="C29" s="7"/>
      <c r="D29" s="7"/>
      <c r="E29" s="7"/>
      <c r="F29" s="7"/>
    </row>
    <row r="30" spans="1:6" x14ac:dyDescent="0.3">
      <c r="A30" s="6" t="s">
        <v>94</v>
      </c>
      <c r="B30" s="7"/>
      <c r="C30" s="7"/>
      <c r="D30" s="7"/>
      <c r="E30" s="7"/>
      <c r="F30" s="7"/>
    </row>
  </sheetData>
  <autoFilter ref="A5:F30" xr:uid="{00000000-0009-0000-0000-000000000000}"/>
  <mergeCells count="4">
    <mergeCell ref="A30:F30"/>
    <mergeCell ref="A1:F1"/>
    <mergeCell ref="A28:F28"/>
    <mergeCell ref="A29:F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34A853"/>
  </sheetPr>
  <dimension ref="A1:F23"/>
  <sheetViews>
    <sheetView workbookViewId="0">
      <pane ySplit="5" topLeftCell="A6" activePane="bottomLeft" state="frozen"/>
      <selection pane="bottomLeft" activeCell="E16" sqref="E16"/>
    </sheetView>
  </sheetViews>
  <sheetFormatPr defaultRowHeight="14.4" x14ac:dyDescent="0.3"/>
  <cols>
    <col min="1" max="1" width="32" customWidth="1"/>
    <col min="2" max="2" width="22" customWidth="1"/>
    <col min="3" max="3" width="12" customWidth="1"/>
    <col min="4" max="4" width="38" customWidth="1"/>
    <col min="5" max="5" width="30" customWidth="1"/>
    <col min="6" max="6" width="50" customWidth="1"/>
  </cols>
  <sheetData>
    <row r="1" spans="1:6" ht="17.399999999999999" x14ac:dyDescent="0.3">
      <c r="A1" s="8" t="s">
        <v>95</v>
      </c>
      <c r="B1" s="7"/>
      <c r="C1" s="7"/>
      <c r="D1" s="7"/>
      <c r="E1" s="7"/>
      <c r="F1" s="7"/>
    </row>
    <row r="2" spans="1:6" x14ac:dyDescent="0.3">
      <c r="A2" s="1" t="s">
        <v>96</v>
      </c>
    </row>
    <row r="3" spans="1:6" x14ac:dyDescent="0.3">
      <c r="A3" s="4" t="s">
        <v>97</v>
      </c>
    </row>
    <row r="5" spans="1:6" x14ac:dyDescent="0.3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</row>
    <row r="6" spans="1:6" x14ac:dyDescent="0.3">
      <c r="A6" s="3" t="s">
        <v>9</v>
      </c>
      <c r="B6" s="3" t="s">
        <v>10</v>
      </c>
      <c r="C6" s="3" t="s">
        <v>11</v>
      </c>
      <c r="D6" s="3" t="s">
        <v>12</v>
      </c>
      <c r="E6" s="3" t="s">
        <v>13</v>
      </c>
      <c r="F6" s="3"/>
    </row>
    <row r="7" spans="1:6" x14ac:dyDescent="0.3">
      <c r="A7" s="5" t="s">
        <v>98</v>
      </c>
      <c r="B7" s="3" t="s">
        <v>16</v>
      </c>
      <c r="C7" s="3" t="s">
        <v>11</v>
      </c>
      <c r="D7" s="3" t="s">
        <v>99</v>
      </c>
      <c r="E7" s="3">
        <v>38485511</v>
      </c>
      <c r="F7" s="3" t="e">
        <f>order_items.item_id = products.sku = Google Ads product_item_id</f>
        <v>#NAME?</v>
      </c>
    </row>
    <row r="8" spans="1:6" ht="26.4" x14ac:dyDescent="0.3">
      <c r="A8" s="3" t="s">
        <v>100</v>
      </c>
      <c r="B8" s="3" t="s">
        <v>16</v>
      </c>
      <c r="C8" s="3" t="s">
        <v>11</v>
      </c>
      <c r="D8" s="3" t="s">
        <v>101</v>
      </c>
      <c r="E8" s="3" t="s">
        <v>647</v>
      </c>
      <c r="F8" s="3"/>
    </row>
    <row r="9" spans="1:6" x14ac:dyDescent="0.3">
      <c r="A9" s="3" t="s">
        <v>102</v>
      </c>
      <c r="B9" s="3" t="s">
        <v>16</v>
      </c>
      <c r="C9" s="3" t="s">
        <v>11</v>
      </c>
      <c r="D9" s="3" t="s">
        <v>103</v>
      </c>
      <c r="E9" s="3" t="s">
        <v>104</v>
      </c>
      <c r="F9" s="3" t="s">
        <v>105</v>
      </c>
    </row>
    <row r="10" spans="1:6" x14ac:dyDescent="0.3">
      <c r="A10" s="3" t="s">
        <v>106</v>
      </c>
      <c r="B10" s="3" t="s">
        <v>16</v>
      </c>
      <c r="C10" s="3" t="s">
        <v>11</v>
      </c>
      <c r="D10" s="3" t="s">
        <v>107</v>
      </c>
      <c r="E10" s="9" t="s">
        <v>648</v>
      </c>
      <c r="F10" s="3" t="s">
        <v>108</v>
      </c>
    </row>
    <row r="11" spans="1:6" x14ac:dyDescent="0.3">
      <c r="A11" s="3" t="s">
        <v>109</v>
      </c>
      <c r="B11" s="3" t="s">
        <v>16</v>
      </c>
      <c r="C11" s="3" t="s">
        <v>11</v>
      </c>
      <c r="D11" s="3" t="s">
        <v>110</v>
      </c>
      <c r="E11" s="9" t="s">
        <v>649</v>
      </c>
      <c r="F11" s="3" t="s">
        <v>111</v>
      </c>
    </row>
    <row r="12" spans="1:6" x14ac:dyDescent="0.3">
      <c r="A12" s="3" t="s">
        <v>112</v>
      </c>
      <c r="B12" s="3" t="s">
        <v>49</v>
      </c>
      <c r="C12" s="3" t="s">
        <v>50</v>
      </c>
      <c r="D12" s="3" t="s">
        <v>113</v>
      </c>
      <c r="E12" s="3" t="s">
        <v>114</v>
      </c>
      <c r="F12" s="3"/>
    </row>
    <row r="13" spans="1:6" x14ac:dyDescent="0.3">
      <c r="A13" s="3" t="s">
        <v>115</v>
      </c>
      <c r="B13" s="3" t="s">
        <v>49</v>
      </c>
      <c r="C13" s="3" t="s">
        <v>50</v>
      </c>
      <c r="D13" s="3" t="s">
        <v>116</v>
      </c>
      <c r="E13" s="3" t="s">
        <v>117</v>
      </c>
      <c r="F13" s="3"/>
    </row>
    <row r="14" spans="1:6" x14ac:dyDescent="0.3">
      <c r="A14" s="3" t="s">
        <v>118</v>
      </c>
      <c r="B14" s="3" t="s">
        <v>49</v>
      </c>
      <c r="C14" s="3" t="s">
        <v>50</v>
      </c>
      <c r="D14" s="3" t="s">
        <v>119</v>
      </c>
      <c r="E14" s="3" t="s">
        <v>120</v>
      </c>
      <c r="F14" s="3"/>
    </row>
    <row r="15" spans="1:6" x14ac:dyDescent="0.3">
      <c r="A15" s="3" t="s">
        <v>121</v>
      </c>
      <c r="B15" s="3" t="s">
        <v>49</v>
      </c>
      <c r="C15" s="3" t="s">
        <v>50</v>
      </c>
      <c r="D15" s="3" t="s">
        <v>122</v>
      </c>
      <c r="E15" s="3" t="s">
        <v>83</v>
      </c>
      <c r="F15" s="3"/>
    </row>
    <row r="16" spans="1:6" x14ac:dyDescent="0.3">
      <c r="A16" s="3" t="s">
        <v>123</v>
      </c>
      <c r="B16" s="3" t="s">
        <v>60</v>
      </c>
      <c r="C16" s="3" t="s">
        <v>50</v>
      </c>
      <c r="D16" s="3" t="s">
        <v>124</v>
      </c>
      <c r="E16" s="3" t="s">
        <v>125</v>
      </c>
      <c r="F16" s="3"/>
    </row>
    <row r="17" spans="1:6" x14ac:dyDescent="0.3">
      <c r="A17" s="3" t="s">
        <v>126</v>
      </c>
      <c r="B17" s="3" t="s">
        <v>49</v>
      </c>
      <c r="C17" s="3" t="s">
        <v>50</v>
      </c>
      <c r="D17" s="3" t="s">
        <v>127</v>
      </c>
      <c r="E17" s="3" t="s">
        <v>128</v>
      </c>
      <c r="F17" s="3" t="s">
        <v>129</v>
      </c>
    </row>
    <row r="18" spans="1:6" x14ac:dyDescent="0.3">
      <c r="A18" s="3" t="s">
        <v>130</v>
      </c>
      <c r="B18" s="3" t="s">
        <v>49</v>
      </c>
      <c r="C18" s="3" t="s">
        <v>50</v>
      </c>
      <c r="D18" s="3" t="s">
        <v>131</v>
      </c>
      <c r="E18" s="3" t="s">
        <v>132</v>
      </c>
      <c r="F18" s="3"/>
    </row>
    <row r="19" spans="1:6" x14ac:dyDescent="0.3">
      <c r="A19" s="3" t="s">
        <v>133</v>
      </c>
      <c r="B19" s="3" t="s">
        <v>60</v>
      </c>
      <c r="C19" s="3" t="s">
        <v>50</v>
      </c>
      <c r="D19" s="3" t="s">
        <v>134</v>
      </c>
      <c r="E19" s="3" t="s">
        <v>135</v>
      </c>
      <c r="F19" s="3" t="s">
        <v>136</v>
      </c>
    </row>
    <row r="21" spans="1:6" x14ac:dyDescent="0.3">
      <c r="A21" s="6" t="s">
        <v>137</v>
      </c>
      <c r="B21" s="7"/>
      <c r="C21" s="7"/>
      <c r="D21" s="7"/>
      <c r="E21" s="7"/>
      <c r="F21" s="7"/>
    </row>
    <row r="22" spans="1:6" x14ac:dyDescent="0.3">
      <c r="A22" s="6" t="s">
        <v>138</v>
      </c>
      <c r="B22" s="7"/>
      <c r="C22" s="7"/>
      <c r="D22" s="7"/>
      <c r="E22" s="7"/>
      <c r="F22" s="7"/>
    </row>
    <row r="23" spans="1:6" x14ac:dyDescent="0.3">
      <c r="A23" s="6" t="s">
        <v>139</v>
      </c>
      <c r="B23" s="7"/>
      <c r="C23" s="7"/>
      <c r="D23" s="7"/>
      <c r="E23" s="7"/>
      <c r="F23" s="7"/>
    </row>
  </sheetData>
  <autoFilter ref="A5:F23" xr:uid="{00000000-0009-0000-0000-000001000000}"/>
  <mergeCells count="4">
    <mergeCell ref="A21:F21"/>
    <mergeCell ref="A22:F22"/>
    <mergeCell ref="A1:F1"/>
    <mergeCell ref="A23:F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877F2"/>
  </sheetPr>
  <dimension ref="A1:F43"/>
  <sheetViews>
    <sheetView workbookViewId="0">
      <pane ySplit="5" topLeftCell="A25" activePane="bottomLeft" state="frozen"/>
      <selection pane="bottomLeft" sqref="A1:F1"/>
    </sheetView>
  </sheetViews>
  <sheetFormatPr defaultRowHeight="14.4" x14ac:dyDescent="0.3"/>
  <cols>
    <col min="1" max="1" width="48" customWidth="1"/>
    <col min="2" max="2" width="20" customWidth="1"/>
    <col min="3" max="3" width="12" customWidth="1"/>
    <col min="4" max="4" width="35" customWidth="1"/>
    <col min="5" max="5" width="22" customWidth="1"/>
    <col min="6" max="6" width="50" customWidth="1"/>
  </cols>
  <sheetData>
    <row r="1" spans="1:6" ht="17.399999999999999" x14ac:dyDescent="0.3">
      <c r="A1" s="8" t="s">
        <v>140</v>
      </c>
      <c r="B1" s="7"/>
      <c r="C1" s="7"/>
      <c r="D1" s="7"/>
      <c r="E1" s="7"/>
      <c r="F1" s="7"/>
    </row>
    <row r="2" spans="1:6" x14ac:dyDescent="0.3">
      <c r="A2" s="1" t="s">
        <v>141</v>
      </c>
    </row>
    <row r="3" spans="1:6" x14ac:dyDescent="0.3">
      <c r="A3" s="1" t="s">
        <v>142</v>
      </c>
    </row>
    <row r="5" spans="1:6" x14ac:dyDescent="0.3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</row>
    <row r="6" spans="1:6" ht="26.4" x14ac:dyDescent="0.3">
      <c r="A6" s="3" t="s">
        <v>143</v>
      </c>
      <c r="B6" s="3" t="s">
        <v>144</v>
      </c>
      <c r="C6" s="3" t="s">
        <v>145</v>
      </c>
      <c r="D6" s="3" t="s">
        <v>146</v>
      </c>
      <c r="E6" s="3" t="s">
        <v>147</v>
      </c>
      <c r="F6" s="3"/>
    </row>
    <row r="7" spans="1:6" ht="26.4" x14ac:dyDescent="0.3">
      <c r="A7" s="3" t="s">
        <v>148</v>
      </c>
      <c r="B7" s="3" t="s">
        <v>144</v>
      </c>
      <c r="C7" s="3" t="s">
        <v>145</v>
      </c>
      <c r="D7" s="3" t="s">
        <v>149</v>
      </c>
      <c r="E7" s="3" t="s">
        <v>147</v>
      </c>
      <c r="F7" s="3" t="s">
        <v>150</v>
      </c>
    </row>
    <row r="8" spans="1:6" x14ac:dyDescent="0.3">
      <c r="A8" s="3" t="s">
        <v>151</v>
      </c>
      <c r="B8" s="3" t="s">
        <v>16</v>
      </c>
      <c r="C8" s="3" t="s">
        <v>145</v>
      </c>
      <c r="D8" s="3" t="s">
        <v>152</v>
      </c>
      <c r="E8" s="3" t="s">
        <v>153</v>
      </c>
      <c r="F8" s="3"/>
    </row>
    <row r="9" spans="1:6" x14ac:dyDescent="0.3">
      <c r="A9" s="3" t="s">
        <v>154</v>
      </c>
      <c r="B9" s="3" t="s">
        <v>16</v>
      </c>
      <c r="C9" s="3" t="s">
        <v>145</v>
      </c>
      <c r="D9" s="3" t="s">
        <v>155</v>
      </c>
      <c r="E9" s="3" t="s">
        <v>156</v>
      </c>
      <c r="F9" s="3"/>
    </row>
    <row r="10" spans="1:6" x14ac:dyDescent="0.3">
      <c r="A10" s="3" t="s">
        <v>157</v>
      </c>
      <c r="B10" s="3" t="s">
        <v>16</v>
      </c>
      <c r="C10" s="3" t="s">
        <v>145</v>
      </c>
      <c r="D10" s="3" t="s">
        <v>158</v>
      </c>
      <c r="E10" s="3" t="s">
        <v>159</v>
      </c>
      <c r="F10" s="3"/>
    </row>
    <row r="11" spans="1:6" ht="26.4" x14ac:dyDescent="0.3">
      <c r="A11" s="5" t="s">
        <v>160</v>
      </c>
      <c r="B11" s="3" t="s">
        <v>16</v>
      </c>
      <c r="C11" s="3" t="s">
        <v>145</v>
      </c>
      <c r="D11" s="3" t="s">
        <v>161</v>
      </c>
      <c r="E11" s="3" t="s">
        <v>162</v>
      </c>
      <c r="F11" s="3" t="s">
        <v>163</v>
      </c>
    </row>
    <row r="12" spans="1:6" x14ac:dyDescent="0.3">
      <c r="A12" s="3" t="s">
        <v>164</v>
      </c>
      <c r="B12" s="3" t="s">
        <v>16</v>
      </c>
      <c r="C12" s="3" t="s">
        <v>145</v>
      </c>
      <c r="D12" s="3" t="s">
        <v>165</v>
      </c>
      <c r="E12" s="3" t="s">
        <v>166</v>
      </c>
      <c r="F12" s="3"/>
    </row>
    <row r="13" spans="1:6" ht="26.4" x14ac:dyDescent="0.3">
      <c r="A13" s="3" t="s">
        <v>167</v>
      </c>
      <c r="B13" s="3" t="s">
        <v>16</v>
      </c>
      <c r="C13" s="3" t="s">
        <v>145</v>
      </c>
      <c r="D13" s="3" t="s">
        <v>168</v>
      </c>
      <c r="E13" s="3" t="s">
        <v>169</v>
      </c>
      <c r="F13" s="3"/>
    </row>
    <row r="14" spans="1:6" x14ac:dyDescent="0.3">
      <c r="A14" s="3" t="s">
        <v>170</v>
      </c>
      <c r="B14" s="3" t="s">
        <v>16</v>
      </c>
      <c r="C14" s="3" t="s">
        <v>145</v>
      </c>
      <c r="D14" s="3" t="s">
        <v>171</v>
      </c>
      <c r="E14" s="3" t="s">
        <v>172</v>
      </c>
      <c r="F14" s="3"/>
    </row>
    <row r="15" spans="1:6" ht="26.4" x14ac:dyDescent="0.3">
      <c r="A15" s="3" t="s">
        <v>173</v>
      </c>
      <c r="B15" s="3" t="s">
        <v>16</v>
      </c>
      <c r="C15" s="3" t="s">
        <v>145</v>
      </c>
      <c r="D15" s="3" t="s">
        <v>174</v>
      </c>
      <c r="E15" s="3" t="s">
        <v>175</v>
      </c>
      <c r="F15" s="3"/>
    </row>
    <row r="16" spans="1:6" ht="26.4" x14ac:dyDescent="0.3">
      <c r="A16" s="3" t="s">
        <v>176</v>
      </c>
      <c r="B16" s="3" t="s">
        <v>16</v>
      </c>
      <c r="C16" s="3" t="s">
        <v>145</v>
      </c>
      <c r="D16" s="3" t="s">
        <v>177</v>
      </c>
      <c r="E16" s="3" t="s">
        <v>178</v>
      </c>
      <c r="F16" s="3" t="s">
        <v>179</v>
      </c>
    </row>
    <row r="17" spans="1:6" x14ac:dyDescent="0.3">
      <c r="A17" s="3" t="s">
        <v>180</v>
      </c>
      <c r="B17" s="3" t="s">
        <v>16</v>
      </c>
      <c r="C17" s="3" t="s">
        <v>145</v>
      </c>
      <c r="D17" s="3" t="s">
        <v>181</v>
      </c>
      <c r="E17" s="3" t="s">
        <v>182</v>
      </c>
      <c r="F17" s="3" t="s">
        <v>183</v>
      </c>
    </row>
    <row r="18" spans="1:6" x14ac:dyDescent="0.3">
      <c r="A18" s="3" t="s">
        <v>184</v>
      </c>
      <c r="B18" s="3" t="s">
        <v>185</v>
      </c>
      <c r="C18" s="3" t="s">
        <v>186</v>
      </c>
      <c r="D18" s="3" t="s">
        <v>187</v>
      </c>
      <c r="E18" s="3" t="s">
        <v>188</v>
      </c>
      <c r="F18" s="3" t="s">
        <v>189</v>
      </c>
    </row>
    <row r="19" spans="1:6" x14ac:dyDescent="0.3">
      <c r="A19" s="3" t="s">
        <v>190</v>
      </c>
      <c r="B19" s="3" t="s">
        <v>185</v>
      </c>
      <c r="C19" s="3" t="s">
        <v>186</v>
      </c>
      <c r="D19" s="3" t="s">
        <v>191</v>
      </c>
      <c r="E19" s="3" t="s">
        <v>192</v>
      </c>
      <c r="F19" s="3"/>
    </row>
    <row r="20" spans="1:6" x14ac:dyDescent="0.3">
      <c r="A20" s="3" t="s">
        <v>193</v>
      </c>
      <c r="B20" s="3" t="s">
        <v>194</v>
      </c>
      <c r="C20" s="3" t="s">
        <v>186</v>
      </c>
      <c r="D20" s="3" t="s">
        <v>195</v>
      </c>
      <c r="E20" s="3" t="s">
        <v>196</v>
      </c>
      <c r="F20" s="3" t="s">
        <v>197</v>
      </c>
    </row>
    <row r="21" spans="1:6" x14ac:dyDescent="0.3">
      <c r="A21" s="3" t="s">
        <v>198</v>
      </c>
      <c r="B21" s="3" t="s">
        <v>185</v>
      </c>
      <c r="C21" s="3" t="s">
        <v>186</v>
      </c>
      <c r="D21" s="3" t="s">
        <v>199</v>
      </c>
      <c r="E21" s="3" t="s">
        <v>200</v>
      </c>
      <c r="F21" s="3"/>
    </row>
    <row r="22" spans="1:6" x14ac:dyDescent="0.3">
      <c r="A22" s="3" t="s">
        <v>201</v>
      </c>
      <c r="B22" s="3" t="s">
        <v>185</v>
      </c>
      <c r="C22" s="3" t="s">
        <v>186</v>
      </c>
      <c r="D22" s="3" t="s">
        <v>202</v>
      </c>
      <c r="E22" s="3" t="s">
        <v>203</v>
      </c>
      <c r="F22" s="3" t="s">
        <v>204</v>
      </c>
    </row>
    <row r="23" spans="1:6" x14ac:dyDescent="0.3">
      <c r="A23" s="3" t="s">
        <v>205</v>
      </c>
      <c r="B23" s="3" t="s">
        <v>194</v>
      </c>
      <c r="C23" s="3" t="s">
        <v>186</v>
      </c>
      <c r="D23" s="3" t="s">
        <v>206</v>
      </c>
      <c r="E23" s="3" t="s">
        <v>207</v>
      </c>
      <c r="F23" s="3" t="s">
        <v>208</v>
      </c>
    </row>
    <row r="24" spans="1:6" x14ac:dyDescent="0.3">
      <c r="A24" s="3" t="s">
        <v>209</v>
      </c>
      <c r="B24" s="3" t="s">
        <v>194</v>
      </c>
      <c r="C24" s="3" t="s">
        <v>186</v>
      </c>
      <c r="D24" s="3" t="s">
        <v>210</v>
      </c>
      <c r="E24" s="3" t="s">
        <v>211</v>
      </c>
      <c r="F24" s="3"/>
    </row>
    <row r="25" spans="1:6" x14ac:dyDescent="0.3">
      <c r="A25" s="3" t="s">
        <v>212</v>
      </c>
      <c r="B25" s="3" t="s">
        <v>194</v>
      </c>
      <c r="C25" s="3" t="s">
        <v>186</v>
      </c>
      <c r="D25" s="3" t="s">
        <v>213</v>
      </c>
      <c r="E25" s="3" t="s">
        <v>214</v>
      </c>
      <c r="F25" s="3"/>
    </row>
    <row r="26" spans="1:6" x14ac:dyDescent="0.3">
      <c r="A26" s="3" t="s">
        <v>215</v>
      </c>
      <c r="B26" s="3" t="s">
        <v>194</v>
      </c>
      <c r="C26" s="3" t="s">
        <v>186</v>
      </c>
      <c r="D26" s="3" t="s">
        <v>216</v>
      </c>
      <c r="E26" s="3" t="s">
        <v>217</v>
      </c>
      <c r="F26" s="3"/>
    </row>
    <row r="27" spans="1:6" x14ac:dyDescent="0.3">
      <c r="A27" s="3" t="s">
        <v>218</v>
      </c>
      <c r="B27" s="3" t="s">
        <v>194</v>
      </c>
      <c r="C27" s="3" t="s">
        <v>186</v>
      </c>
      <c r="D27" s="3" t="s">
        <v>219</v>
      </c>
      <c r="E27" s="3" t="s">
        <v>220</v>
      </c>
      <c r="F27" s="3" t="s">
        <v>221</v>
      </c>
    </row>
    <row r="28" spans="1:6" x14ac:dyDescent="0.3">
      <c r="A28" s="3" t="s">
        <v>222</v>
      </c>
      <c r="B28" s="3" t="s">
        <v>194</v>
      </c>
      <c r="C28" s="3" t="s">
        <v>186</v>
      </c>
      <c r="D28" s="3" t="s">
        <v>223</v>
      </c>
      <c r="E28" s="3" t="s">
        <v>224</v>
      </c>
      <c r="F28" s="3"/>
    </row>
    <row r="29" spans="1:6" x14ac:dyDescent="0.3">
      <c r="A29" s="3" t="s">
        <v>225</v>
      </c>
      <c r="B29" s="3" t="s">
        <v>185</v>
      </c>
      <c r="C29" s="3" t="s">
        <v>226</v>
      </c>
      <c r="D29" s="3" t="s">
        <v>202</v>
      </c>
      <c r="E29" s="3" t="s">
        <v>203</v>
      </c>
      <c r="F29" s="3" t="s">
        <v>227</v>
      </c>
    </row>
    <row r="30" spans="1:6" x14ac:dyDescent="0.3">
      <c r="A30" s="3" t="s">
        <v>228</v>
      </c>
      <c r="B30" s="3" t="s">
        <v>185</v>
      </c>
      <c r="C30" s="3" t="s">
        <v>226</v>
      </c>
      <c r="D30" s="3" t="s">
        <v>229</v>
      </c>
      <c r="E30" s="3" t="s">
        <v>55</v>
      </c>
      <c r="F30" s="3" t="s">
        <v>230</v>
      </c>
    </row>
    <row r="31" spans="1:6" x14ac:dyDescent="0.3">
      <c r="A31" s="3" t="s">
        <v>231</v>
      </c>
      <c r="B31" s="3" t="s">
        <v>185</v>
      </c>
      <c r="C31" s="3" t="s">
        <v>226</v>
      </c>
      <c r="D31" s="3" t="s">
        <v>232</v>
      </c>
      <c r="E31" s="3" t="s">
        <v>233</v>
      </c>
      <c r="F31" s="3" t="s">
        <v>234</v>
      </c>
    </row>
    <row r="32" spans="1:6" x14ac:dyDescent="0.3">
      <c r="A32" s="3" t="s">
        <v>235</v>
      </c>
      <c r="B32" s="3" t="s">
        <v>185</v>
      </c>
      <c r="C32" s="3" t="s">
        <v>226</v>
      </c>
      <c r="D32" s="3" t="s">
        <v>236</v>
      </c>
      <c r="E32" s="3" t="s">
        <v>237</v>
      </c>
      <c r="F32" s="3" t="s">
        <v>238</v>
      </c>
    </row>
    <row r="33" spans="1:6" x14ac:dyDescent="0.3">
      <c r="A33" s="3" t="s">
        <v>239</v>
      </c>
      <c r="B33" s="3" t="s">
        <v>185</v>
      </c>
      <c r="C33" s="3" t="s">
        <v>226</v>
      </c>
      <c r="D33" s="3" t="s">
        <v>240</v>
      </c>
      <c r="E33" s="3" t="s">
        <v>241</v>
      </c>
      <c r="F33" s="3" t="s">
        <v>242</v>
      </c>
    </row>
    <row r="34" spans="1:6" x14ac:dyDescent="0.3">
      <c r="A34" s="3" t="s">
        <v>243</v>
      </c>
      <c r="B34" s="3" t="s">
        <v>185</v>
      </c>
      <c r="C34" s="3" t="s">
        <v>226</v>
      </c>
      <c r="D34" s="3" t="s">
        <v>244</v>
      </c>
      <c r="E34" s="3" t="s">
        <v>245</v>
      </c>
      <c r="F34" s="3" t="s">
        <v>246</v>
      </c>
    </row>
    <row r="35" spans="1:6" x14ac:dyDescent="0.3">
      <c r="A35" s="3" t="s">
        <v>247</v>
      </c>
      <c r="B35" s="3" t="s">
        <v>194</v>
      </c>
      <c r="C35" s="3" t="s">
        <v>248</v>
      </c>
      <c r="D35" s="3" t="s">
        <v>249</v>
      </c>
      <c r="E35" s="3" t="s">
        <v>250</v>
      </c>
      <c r="F35" s="3" t="s">
        <v>251</v>
      </c>
    </row>
    <row r="36" spans="1:6" x14ac:dyDescent="0.3">
      <c r="A36" s="3" t="s">
        <v>252</v>
      </c>
      <c r="B36" s="3" t="s">
        <v>185</v>
      </c>
      <c r="C36" s="3" t="s">
        <v>226</v>
      </c>
      <c r="D36" s="3" t="s">
        <v>253</v>
      </c>
      <c r="E36" s="3" t="s">
        <v>254</v>
      </c>
      <c r="F36" s="3"/>
    </row>
    <row r="37" spans="1:6" x14ac:dyDescent="0.3">
      <c r="A37" s="3" t="s">
        <v>255</v>
      </c>
      <c r="B37" s="3" t="s">
        <v>185</v>
      </c>
      <c r="C37" s="3" t="s">
        <v>226</v>
      </c>
      <c r="D37" s="3" t="s">
        <v>256</v>
      </c>
      <c r="E37" s="3" t="s">
        <v>257</v>
      </c>
      <c r="F37" s="3"/>
    </row>
    <row r="38" spans="1:6" x14ac:dyDescent="0.3">
      <c r="A38" s="3" t="s">
        <v>258</v>
      </c>
      <c r="B38" s="3" t="s">
        <v>185</v>
      </c>
      <c r="C38" s="3" t="s">
        <v>226</v>
      </c>
      <c r="D38" s="3" t="s">
        <v>259</v>
      </c>
      <c r="E38" s="3" t="s">
        <v>260</v>
      </c>
      <c r="F38" s="3"/>
    </row>
    <row r="40" spans="1:6" x14ac:dyDescent="0.3">
      <c r="A40" s="6" t="s">
        <v>261</v>
      </c>
      <c r="B40" s="7"/>
      <c r="C40" s="7"/>
      <c r="D40" s="7"/>
      <c r="E40" s="7"/>
      <c r="F40" s="7"/>
    </row>
    <row r="41" spans="1:6" x14ac:dyDescent="0.3">
      <c r="A41" s="6" t="s">
        <v>262</v>
      </c>
      <c r="B41" s="7"/>
      <c r="C41" s="7"/>
      <c r="D41" s="7"/>
      <c r="E41" s="7"/>
      <c r="F41" s="7"/>
    </row>
    <row r="42" spans="1:6" x14ac:dyDescent="0.3">
      <c r="A42" s="6" t="s">
        <v>263</v>
      </c>
      <c r="B42" s="7"/>
      <c r="C42" s="7"/>
      <c r="D42" s="7"/>
      <c r="E42" s="7"/>
      <c r="F42" s="7"/>
    </row>
    <row r="43" spans="1:6" x14ac:dyDescent="0.3">
      <c r="A43" s="6" t="s">
        <v>264</v>
      </c>
      <c r="B43" s="7"/>
      <c r="C43" s="7"/>
      <c r="D43" s="7"/>
      <c r="E43" s="7"/>
      <c r="F43" s="7"/>
    </row>
  </sheetData>
  <autoFilter ref="A5:F43" xr:uid="{00000000-0009-0000-0000-000002000000}"/>
  <mergeCells count="5">
    <mergeCell ref="A41:F41"/>
    <mergeCell ref="A42:F42"/>
    <mergeCell ref="A1:F1"/>
    <mergeCell ref="A40:F40"/>
    <mergeCell ref="A43:F4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877F2"/>
  </sheetPr>
  <dimension ref="A1:F17"/>
  <sheetViews>
    <sheetView workbookViewId="0">
      <pane ySplit="5" topLeftCell="A6" activePane="bottomLeft" state="frozen"/>
      <selection pane="bottomLeft" sqref="A1:F1"/>
    </sheetView>
  </sheetViews>
  <sheetFormatPr defaultRowHeight="14.4" x14ac:dyDescent="0.3"/>
  <cols>
    <col min="1" max="1" width="32" customWidth="1"/>
    <col min="2" max="2" width="20" customWidth="1"/>
    <col min="3" max="3" width="12" customWidth="1"/>
    <col min="4" max="4" width="30" customWidth="1"/>
    <col min="5" max="5" width="22" customWidth="1"/>
    <col min="6" max="6" width="55" customWidth="1"/>
  </cols>
  <sheetData>
    <row r="1" spans="1:6" ht="17.399999999999999" x14ac:dyDescent="0.3">
      <c r="A1" s="8" t="s">
        <v>265</v>
      </c>
      <c r="B1" s="7"/>
      <c r="C1" s="7"/>
      <c r="D1" s="7"/>
      <c r="E1" s="7"/>
      <c r="F1" s="7"/>
    </row>
    <row r="2" spans="1:6" x14ac:dyDescent="0.3">
      <c r="A2" s="1" t="s">
        <v>266</v>
      </c>
    </row>
    <row r="5" spans="1:6" x14ac:dyDescent="0.3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</row>
    <row r="6" spans="1:6" x14ac:dyDescent="0.3">
      <c r="A6" s="3" t="s">
        <v>267</v>
      </c>
      <c r="B6" s="3" t="s">
        <v>16</v>
      </c>
      <c r="C6" s="3" t="s">
        <v>268</v>
      </c>
      <c r="D6" s="3" t="s">
        <v>269</v>
      </c>
      <c r="E6" s="3" t="s">
        <v>270</v>
      </c>
      <c r="F6" s="3" t="s">
        <v>271</v>
      </c>
    </row>
    <row r="7" spans="1:6" x14ac:dyDescent="0.3">
      <c r="A7" s="3" t="s">
        <v>272</v>
      </c>
      <c r="B7" s="3" t="s">
        <v>16</v>
      </c>
      <c r="C7" s="3" t="s">
        <v>268</v>
      </c>
      <c r="D7" s="3" t="s">
        <v>273</v>
      </c>
      <c r="E7" s="3" t="s">
        <v>274</v>
      </c>
      <c r="F7" s="3" t="s">
        <v>275</v>
      </c>
    </row>
    <row r="8" spans="1:6" x14ac:dyDescent="0.3">
      <c r="A8" s="3" t="s">
        <v>276</v>
      </c>
      <c r="B8" s="3" t="s">
        <v>16</v>
      </c>
      <c r="C8" s="3" t="s">
        <v>268</v>
      </c>
      <c r="D8" s="3" t="s">
        <v>277</v>
      </c>
      <c r="E8" s="3" t="s">
        <v>278</v>
      </c>
      <c r="F8" s="3" t="s">
        <v>279</v>
      </c>
    </row>
    <row r="9" spans="1:6" ht="26.4" x14ac:dyDescent="0.3">
      <c r="A9" s="3" t="s">
        <v>280</v>
      </c>
      <c r="B9" s="3" t="s">
        <v>16</v>
      </c>
      <c r="C9" s="3" t="s">
        <v>268</v>
      </c>
      <c r="D9" s="3" t="s">
        <v>281</v>
      </c>
      <c r="E9" s="3" t="s">
        <v>282</v>
      </c>
      <c r="F9" s="3" t="s">
        <v>283</v>
      </c>
    </row>
    <row r="10" spans="1:6" x14ac:dyDescent="0.3">
      <c r="A10" s="3" t="s">
        <v>284</v>
      </c>
      <c r="B10" s="3" t="s">
        <v>16</v>
      </c>
      <c r="C10" s="3" t="s">
        <v>268</v>
      </c>
      <c r="D10" s="3" t="s">
        <v>285</v>
      </c>
      <c r="E10" s="3" t="s">
        <v>286</v>
      </c>
      <c r="F10" s="3" t="s">
        <v>287</v>
      </c>
    </row>
    <row r="11" spans="1:6" x14ac:dyDescent="0.3">
      <c r="A11" s="3" t="s">
        <v>288</v>
      </c>
      <c r="B11" s="3" t="s">
        <v>16</v>
      </c>
      <c r="C11" s="3" t="s">
        <v>268</v>
      </c>
      <c r="D11" s="3" t="s">
        <v>289</v>
      </c>
      <c r="E11" s="3" t="s">
        <v>290</v>
      </c>
      <c r="F11" s="3" t="s">
        <v>291</v>
      </c>
    </row>
    <row r="12" spans="1:6" x14ac:dyDescent="0.3">
      <c r="A12" s="3" t="s">
        <v>292</v>
      </c>
      <c r="B12" s="3" t="s">
        <v>16</v>
      </c>
      <c r="C12" s="3" t="s">
        <v>268</v>
      </c>
      <c r="D12" s="3" t="s">
        <v>293</v>
      </c>
      <c r="E12" s="3" t="s">
        <v>38</v>
      </c>
      <c r="F12" s="3"/>
    </row>
    <row r="14" spans="1:6" x14ac:dyDescent="0.3">
      <c r="A14" s="6" t="s">
        <v>294</v>
      </c>
      <c r="B14" s="7"/>
      <c r="C14" s="7"/>
      <c r="D14" s="7"/>
      <c r="E14" s="7"/>
      <c r="F14" s="7"/>
    </row>
    <row r="15" spans="1:6" x14ac:dyDescent="0.3">
      <c r="A15" s="6" t="s">
        <v>295</v>
      </c>
      <c r="B15" s="7"/>
      <c r="C15" s="7"/>
      <c r="D15" s="7"/>
      <c r="E15" s="7"/>
      <c r="F15" s="7"/>
    </row>
    <row r="16" spans="1:6" x14ac:dyDescent="0.3">
      <c r="A16" s="6" t="s">
        <v>296</v>
      </c>
      <c r="B16" s="7"/>
      <c r="C16" s="7"/>
      <c r="D16" s="7"/>
      <c r="E16" s="7"/>
      <c r="F16" s="7"/>
    </row>
    <row r="17" spans="1:6" x14ac:dyDescent="0.3">
      <c r="A17" s="6" t="s">
        <v>297</v>
      </c>
      <c r="B17" s="7"/>
      <c r="C17" s="7"/>
      <c r="D17" s="7"/>
      <c r="E17" s="7"/>
      <c r="F17" s="7"/>
    </row>
  </sheetData>
  <autoFilter ref="A5:F17" xr:uid="{00000000-0009-0000-0000-000003000000}"/>
  <mergeCells count="5">
    <mergeCell ref="A16:F16"/>
    <mergeCell ref="A14:F14"/>
    <mergeCell ref="A1:F1"/>
    <mergeCell ref="A17:F17"/>
    <mergeCell ref="A15:F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BBC04"/>
  </sheetPr>
  <dimension ref="A1:F49"/>
  <sheetViews>
    <sheetView workbookViewId="0">
      <pane ySplit="5" topLeftCell="A28" activePane="bottomLeft" state="frozen"/>
      <selection pane="bottomLeft" activeCell="E38" sqref="E38"/>
    </sheetView>
  </sheetViews>
  <sheetFormatPr defaultRowHeight="14.4" x14ac:dyDescent="0.3"/>
  <cols>
    <col min="1" max="1" width="45" customWidth="1"/>
    <col min="2" max="2" width="20" customWidth="1"/>
    <col min="3" max="3" width="12" customWidth="1"/>
    <col min="4" max="4" width="38" customWidth="1"/>
    <col min="5" max="5" width="25" customWidth="1"/>
    <col min="6" max="6" width="55" customWidth="1"/>
  </cols>
  <sheetData>
    <row r="1" spans="1:6" ht="17.399999999999999" x14ac:dyDescent="0.3">
      <c r="A1" s="8" t="s">
        <v>298</v>
      </c>
      <c r="B1" s="7"/>
      <c r="C1" s="7"/>
      <c r="D1" s="7"/>
      <c r="E1" s="7"/>
      <c r="F1" s="7"/>
    </row>
    <row r="2" spans="1:6" x14ac:dyDescent="0.3">
      <c r="A2" s="1" t="s">
        <v>299</v>
      </c>
    </row>
    <row r="3" spans="1:6" x14ac:dyDescent="0.3">
      <c r="A3" s="1" t="s">
        <v>300</v>
      </c>
    </row>
    <row r="5" spans="1:6" x14ac:dyDescent="0.3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</row>
    <row r="6" spans="1:6" ht="26.4" x14ac:dyDescent="0.3">
      <c r="A6" s="3" t="s">
        <v>301</v>
      </c>
      <c r="B6" s="3" t="s">
        <v>144</v>
      </c>
      <c r="C6" s="3" t="s">
        <v>302</v>
      </c>
      <c r="D6" s="3" t="s">
        <v>303</v>
      </c>
      <c r="E6" s="3" t="s">
        <v>147</v>
      </c>
      <c r="F6" s="3"/>
    </row>
    <row r="7" spans="1:6" x14ac:dyDescent="0.3">
      <c r="A7" s="3" t="s">
        <v>304</v>
      </c>
      <c r="B7" s="3" t="s">
        <v>305</v>
      </c>
      <c r="C7" s="3" t="s">
        <v>306</v>
      </c>
      <c r="D7" s="3" t="s">
        <v>307</v>
      </c>
      <c r="E7" s="3" t="s">
        <v>308</v>
      </c>
      <c r="F7" s="3"/>
    </row>
    <row r="8" spans="1:6" x14ac:dyDescent="0.3">
      <c r="A8" s="3" t="s">
        <v>309</v>
      </c>
      <c r="B8" s="3" t="s">
        <v>16</v>
      </c>
      <c r="C8" s="3" t="s">
        <v>306</v>
      </c>
      <c r="D8" s="3" t="s">
        <v>310</v>
      </c>
      <c r="E8" s="3" t="s">
        <v>156</v>
      </c>
      <c r="F8" s="3"/>
    </row>
    <row r="9" spans="1:6" x14ac:dyDescent="0.3">
      <c r="A9" s="3" t="s">
        <v>311</v>
      </c>
      <c r="B9" s="3" t="s">
        <v>305</v>
      </c>
      <c r="C9" s="3" t="s">
        <v>306</v>
      </c>
      <c r="D9" s="3" t="s">
        <v>158</v>
      </c>
      <c r="E9" s="3" t="s">
        <v>312</v>
      </c>
      <c r="F9" s="3"/>
    </row>
    <row r="10" spans="1:6" x14ac:dyDescent="0.3">
      <c r="A10" s="3" t="s">
        <v>313</v>
      </c>
      <c r="B10" s="3" t="s">
        <v>16</v>
      </c>
      <c r="C10" s="3" t="s">
        <v>306</v>
      </c>
      <c r="D10" s="3" t="s">
        <v>161</v>
      </c>
      <c r="E10" s="3" t="s">
        <v>314</v>
      </c>
      <c r="F10" s="3" t="s">
        <v>163</v>
      </c>
    </row>
    <row r="11" spans="1:6" x14ac:dyDescent="0.3">
      <c r="A11" s="3" t="s">
        <v>315</v>
      </c>
      <c r="B11" s="3" t="s">
        <v>316</v>
      </c>
      <c r="C11" s="3" t="s">
        <v>306</v>
      </c>
      <c r="D11" s="3" t="s">
        <v>317</v>
      </c>
      <c r="E11" s="3" t="s">
        <v>318</v>
      </c>
      <c r="F11" s="3" t="s">
        <v>319</v>
      </c>
    </row>
    <row r="12" spans="1:6" ht="26.4" x14ac:dyDescent="0.3">
      <c r="A12" s="3" t="s">
        <v>320</v>
      </c>
      <c r="B12" s="3" t="s">
        <v>316</v>
      </c>
      <c r="C12" s="3" t="s">
        <v>306</v>
      </c>
      <c r="D12" s="3" t="s">
        <v>321</v>
      </c>
      <c r="E12" s="3" t="s">
        <v>322</v>
      </c>
      <c r="F12" s="3" t="s">
        <v>323</v>
      </c>
    </row>
    <row r="13" spans="1:6" x14ac:dyDescent="0.3">
      <c r="A13" s="3" t="s">
        <v>324</v>
      </c>
      <c r="B13" s="3" t="s">
        <v>305</v>
      </c>
      <c r="C13" s="3" t="s">
        <v>306</v>
      </c>
      <c r="D13" s="3" t="s">
        <v>325</v>
      </c>
      <c r="E13" s="3" t="s">
        <v>326</v>
      </c>
      <c r="F13" s="3"/>
    </row>
    <row r="14" spans="1:6" x14ac:dyDescent="0.3">
      <c r="A14" s="3" t="s">
        <v>327</v>
      </c>
      <c r="B14" s="3" t="s">
        <v>16</v>
      </c>
      <c r="C14" s="3" t="s">
        <v>306</v>
      </c>
      <c r="D14" s="3" t="s">
        <v>328</v>
      </c>
      <c r="E14" s="3" t="s">
        <v>329</v>
      </c>
      <c r="F14" s="3"/>
    </row>
    <row r="15" spans="1:6" x14ac:dyDescent="0.3">
      <c r="A15" s="3" t="s">
        <v>330</v>
      </c>
      <c r="B15" s="3" t="s">
        <v>316</v>
      </c>
      <c r="C15" s="3" t="s">
        <v>306</v>
      </c>
      <c r="D15" s="3" t="s">
        <v>331</v>
      </c>
      <c r="E15" s="3" t="s">
        <v>318</v>
      </c>
      <c r="F15" s="3" t="s">
        <v>319</v>
      </c>
    </row>
    <row r="16" spans="1:6" x14ac:dyDescent="0.3">
      <c r="A16" s="3" t="s">
        <v>332</v>
      </c>
      <c r="B16" s="3" t="s">
        <v>316</v>
      </c>
      <c r="C16" s="3" t="s">
        <v>302</v>
      </c>
      <c r="D16" s="3" t="s">
        <v>333</v>
      </c>
      <c r="E16" s="3" t="s">
        <v>334</v>
      </c>
      <c r="F16" s="3" t="s">
        <v>335</v>
      </c>
    </row>
    <row r="17" spans="1:6" ht="26.4" x14ac:dyDescent="0.3">
      <c r="A17" s="3" t="s">
        <v>336</v>
      </c>
      <c r="B17" s="3" t="s">
        <v>316</v>
      </c>
      <c r="C17" s="3" t="s">
        <v>302</v>
      </c>
      <c r="D17" s="3" t="s">
        <v>337</v>
      </c>
      <c r="E17" s="3" t="s">
        <v>322</v>
      </c>
      <c r="F17" s="3" t="s">
        <v>338</v>
      </c>
    </row>
    <row r="18" spans="1:6" x14ac:dyDescent="0.3">
      <c r="A18" s="3" t="s">
        <v>339</v>
      </c>
      <c r="B18" s="3" t="s">
        <v>16</v>
      </c>
      <c r="C18" s="3" t="s">
        <v>302</v>
      </c>
      <c r="D18" s="3" t="s">
        <v>340</v>
      </c>
      <c r="E18" s="3" t="s">
        <v>341</v>
      </c>
      <c r="F18" s="3" t="s">
        <v>342</v>
      </c>
    </row>
    <row r="19" spans="1:6" x14ac:dyDescent="0.3">
      <c r="A19" s="5" t="s">
        <v>343</v>
      </c>
      <c r="B19" s="3" t="s">
        <v>16</v>
      </c>
      <c r="C19" s="3" t="s">
        <v>302</v>
      </c>
      <c r="D19" s="3" t="s">
        <v>344</v>
      </c>
      <c r="E19" s="3">
        <v>38485511</v>
      </c>
      <c r="F19" s="3" t="s">
        <v>345</v>
      </c>
    </row>
    <row r="20" spans="1:6" ht="26.4" x14ac:dyDescent="0.3">
      <c r="A20" s="3" t="s">
        <v>346</v>
      </c>
      <c r="B20" s="3" t="s">
        <v>16</v>
      </c>
      <c r="C20" s="3" t="s">
        <v>302</v>
      </c>
      <c r="D20" s="3" t="s">
        <v>347</v>
      </c>
      <c r="E20" s="3" t="s">
        <v>647</v>
      </c>
      <c r="F20" s="3" t="s">
        <v>348</v>
      </c>
    </row>
    <row r="21" spans="1:6" x14ac:dyDescent="0.3">
      <c r="A21" s="3" t="s">
        <v>349</v>
      </c>
      <c r="B21" s="3" t="s">
        <v>16</v>
      </c>
      <c r="C21" s="3" t="s">
        <v>302</v>
      </c>
      <c r="D21" s="3" t="s">
        <v>350</v>
      </c>
      <c r="E21" s="9" t="s">
        <v>649</v>
      </c>
      <c r="F21" s="3" t="s">
        <v>348</v>
      </c>
    </row>
    <row r="22" spans="1:6" x14ac:dyDescent="0.3">
      <c r="A22" s="3" t="s">
        <v>351</v>
      </c>
      <c r="B22" s="3" t="s">
        <v>16</v>
      </c>
      <c r="C22" s="3" t="s">
        <v>302</v>
      </c>
      <c r="D22" s="3" t="s">
        <v>352</v>
      </c>
      <c r="E22" s="3" t="s">
        <v>104</v>
      </c>
      <c r="F22" s="3" t="s">
        <v>348</v>
      </c>
    </row>
    <row r="23" spans="1:6" x14ac:dyDescent="0.3">
      <c r="A23" s="3" t="s">
        <v>353</v>
      </c>
      <c r="B23" s="3" t="s">
        <v>16</v>
      </c>
      <c r="C23" s="3" t="s">
        <v>302</v>
      </c>
      <c r="D23" s="3" t="s">
        <v>354</v>
      </c>
      <c r="E23" s="9" t="s">
        <v>648</v>
      </c>
      <c r="F23" s="3" t="s">
        <v>348</v>
      </c>
    </row>
    <row r="24" spans="1:6" x14ac:dyDescent="0.3">
      <c r="A24" s="3" t="s">
        <v>355</v>
      </c>
      <c r="B24" s="3" t="s">
        <v>16</v>
      </c>
      <c r="C24" s="3" t="s">
        <v>356</v>
      </c>
      <c r="D24" s="3" t="s">
        <v>357</v>
      </c>
      <c r="E24" s="3" t="s">
        <v>358</v>
      </c>
      <c r="F24" s="3" t="s">
        <v>359</v>
      </c>
    </row>
    <row r="25" spans="1:6" x14ac:dyDescent="0.3">
      <c r="A25" s="3" t="s">
        <v>360</v>
      </c>
      <c r="B25" s="3" t="s">
        <v>316</v>
      </c>
      <c r="C25" s="3" t="s">
        <v>356</v>
      </c>
      <c r="D25" s="3" t="s">
        <v>361</v>
      </c>
      <c r="E25" s="3" t="s">
        <v>362</v>
      </c>
      <c r="F25" s="3" t="s">
        <v>363</v>
      </c>
    </row>
    <row r="26" spans="1:6" x14ac:dyDescent="0.3">
      <c r="A26" s="3" t="s">
        <v>364</v>
      </c>
      <c r="B26" s="3" t="s">
        <v>16</v>
      </c>
      <c r="C26" s="3" t="s">
        <v>356</v>
      </c>
      <c r="D26" s="3" t="s">
        <v>365</v>
      </c>
      <c r="E26" s="9" t="s">
        <v>650</v>
      </c>
      <c r="F26" s="3" t="s">
        <v>359</v>
      </c>
    </row>
    <row r="27" spans="1:6" x14ac:dyDescent="0.3">
      <c r="A27" s="3" t="s">
        <v>366</v>
      </c>
      <c r="B27" s="3" t="s">
        <v>305</v>
      </c>
      <c r="C27" s="3" t="s">
        <v>50</v>
      </c>
      <c r="D27" s="3" t="s">
        <v>187</v>
      </c>
      <c r="E27" s="3" t="s">
        <v>192</v>
      </c>
      <c r="F27" s="3"/>
    </row>
    <row r="28" spans="1:6" x14ac:dyDescent="0.3">
      <c r="A28" s="3" t="s">
        <v>367</v>
      </c>
      <c r="B28" s="3" t="s">
        <v>305</v>
      </c>
      <c r="C28" s="3" t="s">
        <v>50</v>
      </c>
      <c r="D28" s="3" t="s">
        <v>368</v>
      </c>
      <c r="E28" s="3" t="s">
        <v>369</v>
      </c>
      <c r="F28" s="3"/>
    </row>
    <row r="29" spans="1:6" x14ac:dyDescent="0.3">
      <c r="A29" s="3" t="s">
        <v>370</v>
      </c>
      <c r="B29" s="3" t="s">
        <v>305</v>
      </c>
      <c r="C29" s="3" t="s">
        <v>50</v>
      </c>
      <c r="D29" s="3" t="s">
        <v>371</v>
      </c>
      <c r="E29" s="3" t="s">
        <v>372</v>
      </c>
      <c r="F29" s="3" t="s">
        <v>373</v>
      </c>
    </row>
    <row r="30" spans="1:6" x14ac:dyDescent="0.3">
      <c r="A30" s="3" t="s">
        <v>374</v>
      </c>
      <c r="B30" s="3" t="s">
        <v>375</v>
      </c>
      <c r="C30" s="3" t="s">
        <v>50</v>
      </c>
      <c r="D30" s="3" t="s">
        <v>376</v>
      </c>
      <c r="E30" s="3" t="s">
        <v>377</v>
      </c>
      <c r="F30" s="3" t="s">
        <v>378</v>
      </c>
    </row>
    <row r="31" spans="1:6" x14ac:dyDescent="0.3">
      <c r="A31" s="3" t="s">
        <v>379</v>
      </c>
      <c r="B31" s="3" t="s">
        <v>375</v>
      </c>
      <c r="C31" s="3" t="s">
        <v>50</v>
      </c>
      <c r="D31" s="3" t="s">
        <v>380</v>
      </c>
      <c r="E31" s="3" t="s">
        <v>381</v>
      </c>
      <c r="F31" s="3" t="s">
        <v>382</v>
      </c>
    </row>
    <row r="32" spans="1:6" x14ac:dyDescent="0.3">
      <c r="A32" s="3" t="s">
        <v>383</v>
      </c>
      <c r="B32" s="3" t="s">
        <v>375</v>
      </c>
      <c r="C32" s="3" t="s">
        <v>50</v>
      </c>
      <c r="D32" s="3" t="s">
        <v>384</v>
      </c>
      <c r="E32" s="3" t="s">
        <v>385</v>
      </c>
      <c r="F32" s="3" t="s">
        <v>382</v>
      </c>
    </row>
    <row r="33" spans="1:6" x14ac:dyDescent="0.3">
      <c r="A33" s="3" t="s">
        <v>386</v>
      </c>
      <c r="B33" s="3" t="s">
        <v>375</v>
      </c>
      <c r="C33" s="3" t="s">
        <v>50</v>
      </c>
      <c r="D33" s="3" t="s">
        <v>387</v>
      </c>
      <c r="E33" s="3" t="s">
        <v>388</v>
      </c>
      <c r="F33" s="3" t="s">
        <v>389</v>
      </c>
    </row>
    <row r="34" spans="1:6" x14ac:dyDescent="0.3">
      <c r="A34" s="3" t="s">
        <v>390</v>
      </c>
      <c r="B34" s="3" t="s">
        <v>375</v>
      </c>
      <c r="C34" s="3" t="s">
        <v>50</v>
      </c>
      <c r="D34" s="3" t="s">
        <v>391</v>
      </c>
      <c r="E34" s="3" t="s">
        <v>392</v>
      </c>
      <c r="F34" s="3"/>
    </row>
    <row r="35" spans="1:6" x14ac:dyDescent="0.3">
      <c r="A35" s="3" t="s">
        <v>393</v>
      </c>
      <c r="B35" s="3" t="s">
        <v>375</v>
      </c>
      <c r="C35" s="3" t="s">
        <v>50</v>
      </c>
      <c r="D35" s="3" t="s">
        <v>394</v>
      </c>
      <c r="E35" s="3" t="s">
        <v>395</v>
      </c>
      <c r="F35" s="3"/>
    </row>
    <row r="36" spans="1:6" x14ac:dyDescent="0.3">
      <c r="A36" s="3" t="s">
        <v>396</v>
      </c>
      <c r="B36" s="3" t="s">
        <v>375</v>
      </c>
      <c r="C36" s="3" t="s">
        <v>50</v>
      </c>
      <c r="D36" s="3" t="s">
        <v>397</v>
      </c>
      <c r="E36" s="3" t="s">
        <v>398</v>
      </c>
      <c r="F36" s="3"/>
    </row>
    <row r="37" spans="1:6" x14ac:dyDescent="0.3">
      <c r="A37" s="3" t="s">
        <v>399</v>
      </c>
      <c r="B37" s="3" t="s">
        <v>375</v>
      </c>
      <c r="C37" s="3" t="s">
        <v>50</v>
      </c>
      <c r="D37" s="3" t="s">
        <v>400</v>
      </c>
      <c r="E37" s="3" t="s">
        <v>401</v>
      </c>
      <c r="F37" s="3" t="s">
        <v>382</v>
      </c>
    </row>
    <row r="38" spans="1:6" x14ac:dyDescent="0.3">
      <c r="A38" s="3" t="s">
        <v>402</v>
      </c>
      <c r="B38" s="3" t="s">
        <v>375</v>
      </c>
      <c r="C38" s="3" t="s">
        <v>50</v>
      </c>
      <c r="D38" s="3" t="s">
        <v>403</v>
      </c>
      <c r="E38" s="3" t="s">
        <v>404</v>
      </c>
      <c r="F38" s="3" t="s">
        <v>136</v>
      </c>
    </row>
    <row r="39" spans="1:6" x14ac:dyDescent="0.3">
      <c r="A39" s="3" t="s">
        <v>405</v>
      </c>
      <c r="B39" s="3" t="s">
        <v>375</v>
      </c>
      <c r="C39" s="3" t="s">
        <v>50</v>
      </c>
      <c r="D39" s="3" t="s">
        <v>406</v>
      </c>
      <c r="E39" s="3" t="s">
        <v>407</v>
      </c>
      <c r="F39" s="3"/>
    </row>
    <row r="40" spans="1:6" x14ac:dyDescent="0.3">
      <c r="A40" s="3" t="s">
        <v>408</v>
      </c>
      <c r="B40" s="3" t="s">
        <v>375</v>
      </c>
      <c r="C40" s="3" t="s">
        <v>50</v>
      </c>
      <c r="D40" s="3" t="s">
        <v>409</v>
      </c>
      <c r="E40" s="3" t="s">
        <v>410</v>
      </c>
      <c r="F40" s="3" t="s">
        <v>411</v>
      </c>
    </row>
    <row r="41" spans="1:6" x14ac:dyDescent="0.3">
      <c r="A41" s="3" t="s">
        <v>412</v>
      </c>
      <c r="B41" s="3" t="s">
        <v>375</v>
      </c>
      <c r="C41" s="3" t="s">
        <v>50</v>
      </c>
      <c r="D41" s="3" t="s">
        <v>413</v>
      </c>
      <c r="E41" s="3" t="s">
        <v>414</v>
      </c>
      <c r="F41" s="3"/>
    </row>
    <row r="42" spans="1:6" x14ac:dyDescent="0.3">
      <c r="A42" s="3" t="s">
        <v>415</v>
      </c>
      <c r="B42" s="3" t="s">
        <v>375</v>
      </c>
      <c r="C42" s="3" t="s">
        <v>50</v>
      </c>
      <c r="D42" s="3" t="s">
        <v>416</v>
      </c>
      <c r="E42" s="3" t="s">
        <v>417</v>
      </c>
      <c r="F42" s="3"/>
    </row>
    <row r="43" spans="1:6" x14ac:dyDescent="0.3">
      <c r="A43" s="3" t="s">
        <v>418</v>
      </c>
      <c r="B43" s="3" t="s">
        <v>305</v>
      </c>
      <c r="C43" s="3" t="s">
        <v>50</v>
      </c>
      <c r="D43" s="3" t="s">
        <v>419</v>
      </c>
      <c r="E43" s="3" t="s">
        <v>420</v>
      </c>
      <c r="F43" s="3"/>
    </row>
    <row r="44" spans="1:6" x14ac:dyDescent="0.3">
      <c r="A44" s="3" t="s">
        <v>421</v>
      </c>
      <c r="B44" s="3" t="s">
        <v>375</v>
      </c>
      <c r="C44" s="3" t="s">
        <v>50</v>
      </c>
      <c r="D44" s="3" t="s">
        <v>75</v>
      </c>
      <c r="E44" s="3" t="s">
        <v>377</v>
      </c>
      <c r="F44" s="3"/>
    </row>
    <row r="46" spans="1:6" x14ac:dyDescent="0.3">
      <c r="A46" s="6" t="s">
        <v>422</v>
      </c>
      <c r="B46" s="7"/>
      <c r="C46" s="7"/>
      <c r="D46" s="7"/>
      <c r="E46" s="7"/>
      <c r="F46" s="7"/>
    </row>
    <row r="47" spans="1:6" x14ac:dyDescent="0.3">
      <c r="A47" s="6" t="s">
        <v>423</v>
      </c>
      <c r="B47" s="7"/>
      <c r="C47" s="7"/>
      <c r="D47" s="7"/>
      <c r="E47" s="7"/>
      <c r="F47" s="7"/>
    </row>
    <row r="48" spans="1:6" x14ac:dyDescent="0.3">
      <c r="A48" s="6" t="s">
        <v>424</v>
      </c>
      <c r="B48" s="7"/>
      <c r="C48" s="7"/>
      <c r="D48" s="7"/>
      <c r="E48" s="7"/>
      <c r="F48" s="7"/>
    </row>
    <row r="49" spans="1:6" x14ac:dyDescent="0.3">
      <c r="A49" s="6" t="s">
        <v>425</v>
      </c>
      <c r="B49" s="7"/>
      <c r="C49" s="7"/>
      <c r="D49" s="7"/>
      <c r="E49" s="7"/>
      <c r="F49" s="7"/>
    </row>
  </sheetData>
  <autoFilter ref="A5:F49" xr:uid="{00000000-0009-0000-0000-000004000000}"/>
  <mergeCells count="5">
    <mergeCell ref="A49:F49"/>
    <mergeCell ref="A47:F47"/>
    <mergeCell ref="A46:F46"/>
    <mergeCell ref="A1:F1"/>
    <mergeCell ref="A48:F4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EA4335"/>
  </sheetPr>
  <dimension ref="A1:F26"/>
  <sheetViews>
    <sheetView workbookViewId="0">
      <pane ySplit="5" topLeftCell="A12" activePane="bottomLeft" state="frozen"/>
      <selection pane="bottomLeft" sqref="A1:F1"/>
    </sheetView>
  </sheetViews>
  <sheetFormatPr defaultRowHeight="14.4" x14ac:dyDescent="0.3"/>
  <cols>
    <col min="1" max="1" width="22" customWidth="1"/>
    <col min="2" max="2" width="15" customWidth="1"/>
    <col min="3" max="3" width="12" customWidth="1"/>
    <col min="4" max="4" width="35" customWidth="1"/>
    <col min="5" max="5" width="28" customWidth="1"/>
    <col min="6" max="6" width="48" customWidth="1"/>
  </cols>
  <sheetData>
    <row r="1" spans="1:6" ht="17.399999999999999" x14ac:dyDescent="0.3">
      <c r="A1" s="8" t="s">
        <v>426</v>
      </c>
      <c r="B1" s="7"/>
      <c r="C1" s="7"/>
      <c r="D1" s="7"/>
      <c r="E1" s="7"/>
      <c r="F1" s="7"/>
    </row>
    <row r="2" spans="1:6" x14ac:dyDescent="0.3">
      <c r="A2" s="1" t="s">
        <v>427</v>
      </c>
    </row>
    <row r="5" spans="1:6" x14ac:dyDescent="0.3">
      <c r="A5" s="2" t="s">
        <v>428</v>
      </c>
      <c r="B5" s="2" t="s">
        <v>4</v>
      </c>
      <c r="C5" s="2" t="s">
        <v>429</v>
      </c>
      <c r="D5" s="2" t="s">
        <v>6</v>
      </c>
      <c r="E5" s="2" t="s">
        <v>7</v>
      </c>
      <c r="F5" s="2" t="s">
        <v>8</v>
      </c>
    </row>
    <row r="6" spans="1:6" x14ac:dyDescent="0.3">
      <c r="A6" s="5" t="s">
        <v>430</v>
      </c>
      <c r="B6" s="3" t="s">
        <v>16</v>
      </c>
      <c r="C6" s="3" t="s">
        <v>431</v>
      </c>
      <c r="D6" s="3" t="s">
        <v>432</v>
      </c>
      <c r="E6" s="3" t="s">
        <v>433</v>
      </c>
      <c r="F6" s="3"/>
    </row>
    <row r="7" spans="1:6" x14ac:dyDescent="0.3">
      <c r="A7" s="3" t="s">
        <v>434</v>
      </c>
      <c r="B7" s="3" t="s">
        <v>435</v>
      </c>
      <c r="C7" s="3" t="s">
        <v>436</v>
      </c>
      <c r="D7" s="3" t="s">
        <v>437</v>
      </c>
      <c r="E7" s="3" t="s">
        <v>438</v>
      </c>
      <c r="F7" s="3"/>
    </row>
    <row r="8" spans="1:6" x14ac:dyDescent="0.3">
      <c r="A8" s="5" t="s">
        <v>439</v>
      </c>
      <c r="B8" s="3" t="s">
        <v>16</v>
      </c>
      <c r="C8" s="3" t="s">
        <v>440</v>
      </c>
      <c r="D8" s="3" t="s">
        <v>441</v>
      </c>
      <c r="E8" s="3" t="s">
        <v>442</v>
      </c>
      <c r="F8" s="3" t="s">
        <v>443</v>
      </c>
    </row>
    <row r="9" spans="1:6" x14ac:dyDescent="0.3">
      <c r="A9" s="3" t="s">
        <v>36</v>
      </c>
      <c r="B9" s="3" t="s">
        <v>16</v>
      </c>
      <c r="C9" s="3" t="s">
        <v>436</v>
      </c>
      <c r="D9" s="3" t="s">
        <v>444</v>
      </c>
      <c r="E9" s="3" t="s">
        <v>38</v>
      </c>
      <c r="F9" s="3" t="s">
        <v>445</v>
      </c>
    </row>
    <row r="10" spans="1:6" x14ac:dyDescent="0.3">
      <c r="A10" s="3" t="s">
        <v>446</v>
      </c>
      <c r="B10" s="3" t="s">
        <v>16</v>
      </c>
      <c r="C10" s="3" t="s">
        <v>436</v>
      </c>
      <c r="D10" s="3" t="s">
        <v>447</v>
      </c>
      <c r="E10" s="3" t="s">
        <v>34</v>
      </c>
      <c r="F10" s="3" t="s">
        <v>35</v>
      </c>
    </row>
    <row r="11" spans="1:6" x14ac:dyDescent="0.3">
      <c r="A11" s="3" t="s">
        <v>448</v>
      </c>
      <c r="B11" s="3" t="s">
        <v>16</v>
      </c>
      <c r="C11" s="3" t="s">
        <v>436</v>
      </c>
      <c r="D11" s="3" t="s">
        <v>449</v>
      </c>
      <c r="E11" s="3" t="s">
        <v>30</v>
      </c>
      <c r="F11" s="3" t="s">
        <v>450</v>
      </c>
    </row>
    <row r="12" spans="1:6" x14ac:dyDescent="0.3">
      <c r="A12" s="3" t="s">
        <v>451</v>
      </c>
      <c r="B12" s="3" t="s">
        <v>16</v>
      </c>
      <c r="C12" s="3" t="s">
        <v>436</v>
      </c>
      <c r="D12" s="3" t="s">
        <v>452</v>
      </c>
      <c r="E12" s="3" t="s">
        <v>18</v>
      </c>
      <c r="F12" s="3" t="s">
        <v>453</v>
      </c>
    </row>
    <row r="13" spans="1:6" x14ac:dyDescent="0.3">
      <c r="A13" s="3" t="s">
        <v>454</v>
      </c>
      <c r="B13" s="3" t="s">
        <v>16</v>
      </c>
      <c r="C13" s="3" t="s">
        <v>436</v>
      </c>
      <c r="D13" s="3" t="s">
        <v>455</v>
      </c>
      <c r="E13" s="3" t="s">
        <v>22</v>
      </c>
      <c r="F13" s="3" t="s">
        <v>456</v>
      </c>
    </row>
    <row r="14" spans="1:6" x14ac:dyDescent="0.3">
      <c r="A14" s="5" t="s">
        <v>160</v>
      </c>
      <c r="B14" s="3" t="s">
        <v>16</v>
      </c>
      <c r="C14" s="3" t="s">
        <v>457</v>
      </c>
      <c r="D14" s="3" t="s">
        <v>458</v>
      </c>
      <c r="E14" s="3" t="s">
        <v>162</v>
      </c>
      <c r="F14" s="3" t="s">
        <v>459</v>
      </c>
    </row>
    <row r="15" spans="1:6" x14ac:dyDescent="0.3">
      <c r="A15" s="3" t="s">
        <v>460</v>
      </c>
      <c r="B15" s="3" t="s">
        <v>16</v>
      </c>
      <c r="C15" s="3" t="s">
        <v>457</v>
      </c>
      <c r="D15" s="3" t="s">
        <v>461</v>
      </c>
      <c r="E15" s="3" t="s">
        <v>462</v>
      </c>
      <c r="F15" s="3" t="s">
        <v>463</v>
      </c>
    </row>
    <row r="16" spans="1:6" x14ac:dyDescent="0.3">
      <c r="A16" s="3" t="s">
        <v>464</v>
      </c>
      <c r="B16" s="3" t="s">
        <v>49</v>
      </c>
      <c r="C16" s="3" t="s">
        <v>436</v>
      </c>
      <c r="D16" s="3" t="s">
        <v>465</v>
      </c>
      <c r="E16" s="3" t="s">
        <v>466</v>
      </c>
      <c r="F16" s="3"/>
    </row>
    <row r="17" spans="1:6" x14ac:dyDescent="0.3">
      <c r="A17" s="3" t="s">
        <v>467</v>
      </c>
      <c r="B17" s="3" t="s">
        <v>60</v>
      </c>
      <c r="C17" s="3" t="s">
        <v>436</v>
      </c>
      <c r="D17" s="3" t="s">
        <v>468</v>
      </c>
      <c r="E17" s="3" t="s">
        <v>469</v>
      </c>
      <c r="F17" s="3"/>
    </row>
    <row r="18" spans="1:6" x14ac:dyDescent="0.3">
      <c r="A18" s="3" t="s">
        <v>470</v>
      </c>
      <c r="B18" s="3" t="s">
        <v>60</v>
      </c>
      <c r="C18" s="3" t="s">
        <v>436</v>
      </c>
      <c r="D18" s="3" t="s">
        <v>471</v>
      </c>
      <c r="E18" s="3" t="s">
        <v>472</v>
      </c>
      <c r="F18" s="3"/>
    </row>
    <row r="19" spans="1:6" x14ac:dyDescent="0.3">
      <c r="A19" s="3" t="s">
        <v>473</v>
      </c>
      <c r="B19" s="3" t="s">
        <v>60</v>
      </c>
      <c r="C19" s="3" t="s">
        <v>436</v>
      </c>
      <c r="D19" s="3" t="s">
        <v>474</v>
      </c>
      <c r="E19" s="3" t="s">
        <v>475</v>
      </c>
      <c r="F19" s="3"/>
    </row>
    <row r="20" spans="1:6" x14ac:dyDescent="0.3">
      <c r="A20" s="3" t="s">
        <v>476</v>
      </c>
      <c r="B20" s="3" t="s">
        <v>60</v>
      </c>
      <c r="C20" s="3" t="s">
        <v>436</v>
      </c>
      <c r="D20" s="3" t="s">
        <v>477</v>
      </c>
      <c r="E20" s="3" t="s">
        <v>478</v>
      </c>
      <c r="F20" s="3" t="s">
        <v>479</v>
      </c>
    </row>
    <row r="21" spans="1:6" x14ac:dyDescent="0.3">
      <c r="A21" s="3" t="s">
        <v>480</v>
      </c>
      <c r="B21" s="3" t="s">
        <v>60</v>
      </c>
      <c r="C21" s="3" t="s">
        <v>436</v>
      </c>
      <c r="D21" s="3" t="s">
        <v>481</v>
      </c>
      <c r="E21" s="3" t="s">
        <v>482</v>
      </c>
      <c r="F21" s="3" t="s">
        <v>483</v>
      </c>
    </row>
    <row r="22" spans="1:6" x14ac:dyDescent="0.3">
      <c r="A22" s="3" t="s">
        <v>484</v>
      </c>
      <c r="B22" s="3" t="s">
        <v>16</v>
      </c>
      <c r="C22" s="3" t="s">
        <v>436</v>
      </c>
      <c r="D22" s="3" t="s">
        <v>485</v>
      </c>
      <c r="E22" s="3" t="s">
        <v>486</v>
      </c>
      <c r="F22" s="3" t="s">
        <v>487</v>
      </c>
    </row>
    <row r="23" spans="1:6" x14ac:dyDescent="0.3">
      <c r="A23" s="3" t="s">
        <v>488</v>
      </c>
      <c r="B23" s="3" t="s">
        <v>16</v>
      </c>
      <c r="C23" s="3" t="s">
        <v>436</v>
      </c>
      <c r="D23" s="3" t="s">
        <v>489</v>
      </c>
      <c r="E23" s="3" t="s">
        <v>490</v>
      </c>
      <c r="F23" s="3" t="s">
        <v>491</v>
      </c>
    </row>
    <row r="25" spans="1:6" x14ac:dyDescent="0.3">
      <c r="A25" s="6" t="s">
        <v>492</v>
      </c>
      <c r="B25" s="7"/>
      <c r="C25" s="7"/>
      <c r="D25" s="7"/>
      <c r="E25" s="7"/>
      <c r="F25" s="7"/>
    </row>
    <row r="26" spans="1:6" x14ac:dyDescent="0.3">
      <c r="A26" s="6" t="s">
        <v>493</v>
      </c>
      <c r="B26" s="7"/>
      <c r="C26" s="7"/>
      <c r="D26" s="7"/>
      <c r="E26" s="7"/>
      <c r="F26" s="7"/>
    </row>
  </sheetData>
  <autoFilter ref="A5:F26" xr:uid="{00000000-0009-0000-0000-000005000000}"/>
  <mergeCells count="3">
    <mergeCell ref="A26:F26"/>
    <mergeCell ref="A1:F1"/>
    <mergeCell ref="A25:F2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EA4335"/>
  </sheetPr>
  <dimension ref="A1:F20"/>
  <sheetViews>
    <sheetView workbookViewId="0">
      <pane ySplit="5" topLeftCell="A6" activePane="bottomLeft" state="frozen"/>
      <selection pane="bottomLeft" activeCell="E12" sqref="E12"/>
    </sheetView>
  </sheetViews>
  <sheetFormatPr defaultRowHeight="14.4" x14ac:dyDescent="0.3"/>
  <cols>
    <col min="1" max="1" width="22" customWidth="1"/>
    <col min="2" max="2" width="15" customWidth="1"/>
    <col min="3" max="3" width="12" customWidth="1"/>
    <col min="4" max="4" width="30" customWidth="1"/>
    <col min="5" max="5" width="28" customWidth="1"/>
    <col min="6" max="6" width="52" customWidth="1"/>
  </cols>
  <sheetData>
    <row r="1" spans="1:6" ht="17.399999999999999" x14ac:dyDescent="0.3">
      <c r="A1" s="8" t="s">
        <v>494</v>
      </c>
      <c r="B1" s="7"/>
      <c r="C1" s="7"/>
      <c r="D1" s="7"/>
      <c r="E1" s="7"/>
      <c r="F1" s="7"/>
    </row>
    <row r="2" spans="1:6" x14ac:dyDescent="0.3">
      <c r="A2" s="1" t="s">
        <v>495</v>
      </c>
    </row>
    <row r="5" spans="1:6" x14ac:dyDescent="0.3">
      <c r="A5" s="2" t="s">
        <v>428</v>
      </c>
      <c r="B5" s="2" t="s">
        <v>4</v>
      </c>
      <c r="C5" s="2" t="s">
        <v>429</v>
      </c>
      <c r="D5" s="2" t="s">
        <v>6</v>
      </c>
      <c r="E5" s="2" t="s">
        <v>7</v>
      </c>
      <c r="F5" s="2" t="s">
        <v>8</v>
      </c>
    </row>
    <row r="6" spans="1:6" x14ac:dyDescent="0.3">
      <c r="A6" s="5" t="s">
        <v>430</v>
      </c>
      <c r="B6" s="3" t="s">
        <v>16</v>
      </c>
      <c r="C6" s="3" t="s">
        <v>440</v>
      </c>
      <c r="D6" s="3" t="s">
        <v>496</v>
      </c>
      <c r="E6" s="3" t="s">
        <v>433</v>
      </c>
      <c r="F6" s="3" t="s">
        <v>497</v>
      </c>
    </row>
    <row r="7" spans="1:6" x14ac:dyDescent="0.3">
      <c r="A7" s="3" t="s">
        <v>498</v>
      </c>
      <c r="B7" s="3" t="s">
        <v>49</v>
      </c>
      <c r="C7" s="3" t="s">
        <v>436</v>
      </c>
      <c r="D7" s="3" t="s">
        <v>499</v>
      </c>
      <c r="E7" s="3" t="s">
        <v>500</v>
      </c>
      <c r="F7" s="3" t="s">
        <v>501</v>
      </c>
    </row>
    <row r="8" spans="1:6" x14ac:dyDescent="0.3">
      <c r="A8" s="5" t="s">
        <v>502</v>
      </c>
      <c r="B8" s="3" t="s">
        <v>16</v>
      </c>
      <c r="C8" s="3" t="s">
        <v>436</v>
      </c>
      <c r="D8" s="3" t="s">
        <v>503</v>
      </c>
      <c r="E8" s="3">
        <v>38485511</v>
      </c>
      <c r="F8" s="3" t="e">
        <f>GA4 itemId = Google Ads product_item_id = products.sku</f>
        <v>#NAME?</v>
      </c>
    </row>
    <row r="9" spans="1:6" ht="26.4" x14ac:dyDescent="0.3">
      <c r="A9" s="3" t="s">
        <v>504</v>
      </c>
      <c r="B9" s="3" t="s">
        <v>16</v>
      </c>
      <c r="C9" s="3" t="s">
        <v>436</v>
      </c>
      <c r="D9" s="3" t="s">
        <v>101</v>
      </c>
      <c r="E9" s="3" t="s">
        <v>647</v>
      </c>
      <c r="F9" s="3"/>
    </row>
    <row r="10" spans="1:6" x14ac:dyDescent="0.3">
      <c r="A10" s="3" t="s">
        <v>505</v>
      </c>
      <c r="B10" s="3" t="s">
        <v>16</v>
      </c>
      <c r="C10" s="3" t="s">
        <v>436</v>
      </c>
      <c r="D10" s="3" t="s">
        <v>506</v>
      </c>
      <c r="E10" s="3" t="s">
        <v>104</v>
      </c>
      <c r="F10" s="3" t="e">
        <f>GA4 itemCategory</f>
        <v>#NAME?</v>
      </c>
    </row>
    <row r="11" spans="1:6" x14ac:dyDescent="0.3">
      <c r="A11" s="3" t="s">
        <v>507</v>
      </c>
      <c r="B11" s="3" t="s">
        <v>16</v>
      </c>
      <c r="C11" s="3" t="s">
        <v>436</v>
      </c>
      <c r="D11" s="3" t="s">
        <v>508</v>
      </c>
      <c r="E11" s="9" t="s">
        <v>648</v>
      </c>
      <c r="F11" s="3" t="e">
        <f>GA4 itemCategory2</f>
        <v>#NAME?</v>
      </c>
    </row>
    <row r="12" spans="1:6" x14ac:dyDescent="0.3">
      <c r="A12" s="3" t="s">
        <v>509</v>
      </c>
      <c r="B12" s="3" t="s">
        <v>16</v>
      </c>
      <c r="C12" s="3" t="s">
        <v>436</v>
      </c>
      <c r="D12" s="3" t="s">
        <v>110</v>
      </c>
      <c r="E12" s="9" t="s">
        <v>649</v>
      </c>
      <c r="F12" s="3" t="e">
        <f>GA4 itemBrand</f>
        <v>#NAME?</v>
      </c>
    </row>
    <row r="13" spans="1:6" x14ac:dyDescent="0.3">
      <c r="A13" s="3" t="s">
        <v>510</v>
      </c>
      <c r="B13" s="3" t="s">
        <v>49</v>
      </c>
      <c r="C13" s="3" t="s">
        <v>436</v>
      </c>
      <c r="D13" s="3" t="s">
        <v>511</v>
      </c>
      <c r="E13" s="3" t="s">
        <v>500</v>
      </c>
      <c r="F13" s="3"/>
    </row>
    <row r="14" spans="1:6" x14ac:dyDescent="0.3">
      <c r="A14" s="3" t="s">
        <v>512</v>
      </c>
      <c r="B14" s="3" t="s">
        <v>60</v>
      </c>
      <c r="C14" s="3" t="s">
        <v>436</v>
      </c>
      <c r="D14" s="3" t="s">
        <v>513</v>
      </c>
      <c r="E14" s="3" t="s">
        <v>514</v>
      </c>
      <c r="F14" s="3"/>
    </row>
    <row r="15" spans="1:6" x14ac:dyDescent="0.3">
      <c r="A15" s="3" t="s">
        <v>515</v>
      </c>
      <c r="B15" s="3" t="s">
        <v>60</v>
      </c>
      <c r="C15" s="3" t="s">
        <v>436</v>
      </c>
      <c r="D15" s="3" t="s">
        <v>516</v>
      </c>
      <c r="E15" s="3" t="s">
        <v>514</v>
      </c>
      <c r="F15" s="3" t="s">
        <v>517</v>
      </c>
    </row>
    <row r="16" spans="1:6" x14ac:dyDescent="0.3">
      <c r="A16" s="3" t="s">
        <v>473</v>
      </c>
      <c r="B16" s="3" t="s">
        <v>60</v>
      </c>
      <c r="C16" s="3" t="s">
        <v>436</v>
      </c>
      <c r="D16" s="3" t="s">
        <v>518</v>
      </c>
      <c r="E16" s="3" t="s">
        <v>519</v>
      </c>
      <c r="F16" s="3"/>
    </row>
    <row r="17" spans="1:6" x14ac:dyDescent="0.3">
      <c r="A17" s="3" t="s">
        <v>476</v>
      </c>
      <c r="B17" s="3" t="s">
        <v>60</v>
      </c>
      <c r="C17" s="3" t="s">
        <v>436</v>
      </c>
      <c r="D17" s="3" t="s">
        <v>520</v>
      </c>
      <c r="E17" s="3" t="s">
        <v>478</v>
      </c>
      <c r="F17" s="3"/>
    </row>
    <row r="19" spans="1:6" x14ac:dyDescent="0.3">
      <c r="A19" s="6" t="s">
        <v>521</v>
      </c>
      <c r="B19" s="7"/>
      <c r="C19" s="7"/>
      <c r="D19" s="7"/>
      <c r="E19" s="7"/>
      <c r="F19" s="7"/>
    </row>
    <row r="20" spans="1:6" x14ac:dyDescent="0.3">
      <c r="A20" s="6" t="s">
        <v>522</v>
      </c>
      <c r="B20" s="7"/>
      <c r="C20" s="7"/>
      <c r="D20" s="7"/>
      <c r="E20" s="7"/>
      <c r="F20" s="7"/>
    </row>
  </sheetData>
  <autoFilter ref="A5:F20" xr:uid="{00000000-0009-0000-0000-000006000000}"/>
  <mergeCells count="3">
    <mergeCell ref="A19:F19"/>
    <mergeCell ref="A20:F20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6D01"/>
  </sheetPr>
  <dimension ref="A1:F18"/>
  <sheetViews>
    <sheetView tabSelected="1" workbookViewId="0">
      <pane ySplit="5" topLeftCell="A6" activePane="bottomLeft" state="frozen"/>
      <selection pane="bottomLeft" activeCell="E11" sqref="E11"/>
    </sheetView>
  </sheetViews>
  <sheetFormatPr defaultRowHeight="14.4" x14ac:dyDescent="0.3"/>
  <cols>
    <col min="1" max="1" width="22" customWidth="1"/>
    <col min="2" max="2" width="15" customWidth="1"/>
    <col min="3" max="3" width="12" customWidth="1"/>
    <col min="4" max="4" width="35" customWidth="1"/>
    <col min="5" max="5" width="40" customWidth="1"/>
    <col min="6" max="6" width="48" customWidth="1"/>
  </cols>
  <sheetData>
    <row r="1" spans="1:6" ht="17.399999999999999" x14ac:dyDescent="0.3">
      <c r="A1" s="8" t="s">
        <v>523</v>
      </c>
      <c r="B1" s="7"/>
      <c r="C1" s="7"/>
      <c r="D1" s="7"/>
      <c r="E1" s="7"/>
      <c r="F1" s="7"/>
    </row>
    <row r="2" spans="1:6" x14ac:dyDescent="0.3">
      <c r="A2" s="1" t="s">
        <v>524</v>
      </c>
    </row>
    <row r="5" spans="1:6" x14ac:dyDescent="0.3">
      <c r="A5" s="2" t="s">
        <v>428</v>
      </c>
      <c r="B5" s="2" t="s">
        <v>4</v>
      </c>
      <c r="C5" s="2" t="s">
        <v>429</v>
      </c>
      <c r="D5" s="2" t="s">
        <v>6</v>
      </c>
      <c r="E5" s="2" t="s">
        <v>7</v>
      </c>
      <c r="F5" s="2" t="s">
        <v>8</v>
      </c>
    </row>
    <row r="6" spans="1:6" x14ac:dyDescent="0.3">
      <c r="A6" s="5" t="s">
        <v>525</v>
      </c>
      <c r="B6" s="3" t="s">
        <v>16</v>
      </c>
      <c r="C6" s="3" t="s">
        <v>431</v>
      </c>
      <c r="D6" s="3" t="s">
        <v>503</v>
      </c>
      <c r="E6" s="3">
        <v>38485511</v>
      </c>
      <c r="F6" s="3" t="e">
        <f>itemId = item_id = product_item_id</f>
        <v>#NAME?</v>
      </c>
    </row>
    <row r="7" spans="1:6" x14ac:dyDescent="0.3">
      <c r="A7" s="3" t="s">
        <v>526</v>
      </c>
      <c r="B7" s="3" t="s">
        <v>16</v>
      </c>
      <c r="C7" s="3" t="s">
        <v>436</v>
      </c>
      <c r="D7" s="3" t="s">
        <v>101</v>
      </c>
      <c r="E7" s="3" t="s">
        <v>647</v>
      </c>
      <c r="F7" s="3" t="s">
        <v>527</v>
      </c>
    </row>
    <row r="8" spans="1:6" x14ac:dyDescent="0.3">
      <c r="A8" s="3" t="s">
        <v>528</v>
      </c>
      <c r="B8" s="3" t="s">
        <v>16</v>
      </c>
      <c r="C8" s="3" t="s">
        <v>436</v>
      </c>
      <c r="D8" s="3" t="s">
        <v>506</v>
      </c>
      <c r="E8" s="3" t="s">
        <v>104</v>
      </c>
      <c r="F8" s="3" t="s">
        <v>105</v>
      </c>
    </row>
    <row r="9" spans="1:6" x14ac:dyDescent="0.3">
      <c r="A9" s="3" t="s">
        <v>529</v>
      </c>
      <c r="B9" s="3" t="s">
        <v>16</v>
      </c>
      <c r="C9" s="3" t="s">
        <v>436</v>
      </c>
      <c r="D9" s="3" t="s">
        <v>508</v>
      </c>
      <c r="E9" s="9" t="s">
        <v>648</v>
      </c>
      <c r="F9" s="3"/>
    </row>
    <row r="10" spans="1:6" x14ac:dyDescent="0.3">
      <c r="A10" s="3" t="s">
        <v>530</v>
      </c>
      <c r="B10" s="3" t="s">
        <v>16</v>
      </c>
      <c r="C10" s="3" t="s">
        <v>436</v>
      </c>
      <c r="D10" s="3" t="s">
        <v>110</v>
      </c>
      <c r="E10" s="9" t="s">
        <v>649</v>
      </c>
      <c r="F10" s="3"/>
    </row>
    <row r="11" spans="1:6" x14ac:dyDescent="0.3">
      <c r="A11" s="3" t="s">
        <v>272</v>
      </c>
      <c r="B11" s="3" t="s">
        <v>16</v>
      </c>
      <c r="C11" s="3" t="s">
        <v>436</v>
      </c>
      <c r="D11" s="3" t="s">
        <v>531</v>
      </c>
      <c r="E11" s="3" t="s">
        <v>532</v>
      </c>
      <c r="F11" s="3" t="s">
        <v>533</v>
      </c>
    </row>
    <row r="12" spans="1:6" x14ac:dyDescent="0.3">
      <c r="A12" s="3" t="s">
        <v>534</v>
      </c>
      <c r="B12" s="3" t="s">
        <v>60</v>
      </c>
      <c r="C12" s="3" t="s">
        <v>436</v>
      </c>
      <c r="D12" s="3" t="s">
        <v>535</v>
      </c>
      <c r="E12" s="3" t="s">
        <v>514</v>
      </c>
      <c r="F12" s="3"/>
    </row>
    <row r="13" spans="1:6" x14ac:dyDescent="0.3">
      <c r="A13" s="3" t="s">
        <v>536</v>
      </c>
      <c r="B13" s="3" t="s">
        <v>60</v>
      </c>
      <c r="C13" s="3" t="s">
        <v>436</v>
      </c>
      <c r="D13" s="3" t="s">
        <v>537</v>
      </c>
      <c r="E13" s="3" t="s">
        <v>538</v>
      </c>
      <c r="F13" s="3" t="s">
        <v>539</v>
      </c>
    </row>
    <row r="14" spans="1:6" x14ac:dyDescent="0.3">
      <c r="A14" s="3" t="s">
        <v>540</v>
      </c>
      <c r="B14" s="3" t="s">
        <v>49</v>
      </c>
      <c r="C14" s="3" t="s">
        <v>436</v>
      </c>
      <c r="D14" s="3" t="s">
        <v>541</v>
      </c>
      <c r="E14" s="3" t="s">
        <v>542</v>
      </c>
      <c r="F14" s="3"/>
    </row>
    <row r="15" spans="1:6" x14ac:dyDescent="0.3">
      <c r="A15" s="3" t="s">
        <v>543</v>
      </c>
      <c r="B15" s="3" t="s">
        <v>544</v>
      </c>
      <c r="C15" s="3" t="s">
        <v>436</v>
      </c>
      <c r="D15" s="3" t="s">
        <v>545</v>
      </c>
      <c r="E15" s="3" t="s">
        <v>546</v>
      </c>
      <c r="F15" s="3" t="s">
        <v>547</v>
      </c>
    </row>
    <row r="16" spans="1:6" x14ac:dyDescent="0.3">
      <c r="A16" s="3" t="s">
        <v>548</v>
      </c>
      <c r="B16" s="3" t="s">
        <v>549</v>
      </c>
      <c r="C16" s="3" t="s">
        <v>436</v>
      </c>
      <c r="D16" s="3" t="s">
        <v>550</v>
      </c>
      <c r="E16" s="3" t="s">
        <v>551</v>
      </c>
      <c r="F16" s="3"/>
    </row>
    <row r="17" spans="1:6" x14ac:dyDescent="0.3">
      <c r="A17" s="3" t="s">
        <v>552</v>
      </c>
      <c r="B17" s="3" t="s">
        <v>16</v>
      </c>
      <c r="C17" s="3" t="s">
        <v>436</v>
      </c>
      <c r="D17" s="3" t="s">
        <v>553</v>
      </c>
      <c r="E17" s="3" t="s">
        <v>554</v>
      </c>
      <c r="F17" s="3"/>
    </row>
    <row r="18" spans="1:6" x14ac:dyDescent="0.3">
      <c r="A18" s="3" t="s">
        <v>555</v>
      </c>
      <c r="B18" s="3" t="s">
        <v>16</v>
      </c>
      <c r="C18" s="3" t="s">
        <v>436</v>
      </c>
      <c r="D18" s="3" t="s">
        <v>556</v>
      </c>
      <c r="E18" s="3" t="s">
        <v>557</v>
      </c>
      <c r="F18" s="3" t="s">
        <v>558</v>
      </c>
    </row>
  </sheetData>
  <autoFilter ref="A5:F18" xr:uid="{00000000-0009-0000-0000-000007000000}"/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A142F4"/>
  </sheetPr>
  <dimension ref="A1:F16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25" customWidth="1"/>
    <col min="2" max="2" width="15" customWidth="1"/>
    <col min="3" max="3" width="12" customWidth="1"/>
    <col min="4" max="4" width="30" customWidth="1"/>
    <col min="5" max="5" width="22" customWidth="1"/>
    <col min="6" max="6" width="42" customWidth="1"/>
  </cols>
  <sheetData>
    <row r="1" spans="1:6" ht="17.399999999999999" x14ac:dyDescent="0.3">
      <c r="A1" s="8" t="s">
        <v>559</v>
      </c>
      <c r="B1" s="7"/>
      <c r="C1" s="7"/>
      <c r="D1" s="7"/>
      <c r="E1" s="7"/>
      <c r="F1" s="7"/>
    </row>
    <row r="2" spans="1:6" x14ac:dyDescent="0.3">
      <c r="A2" s="1" t="s">
        <v>560</v>
      </c>
    </row>
    <row r="5" spans="1:6" x14ac:dyDescent="0.3">
      <c r="A5" s="2" t="s">
        <v>428</v>
      </c>
      <c r="B5" s="2" t="s">
        <v>4</v>
      </c>
      <c r="C5" s="2" t="s">
        <v>429</v>
      </c>
      <c r="D5" s="2" t="s">
        <v>6</v>
      </c>
      <c r="E5" s="2" t="s">
        <v>7</v>
      </c>
      <c r="F5" s="2" t="s">
        <v>8</v>
      </c>
    </row>
    <row r="6" spans="1:6" x14ac:dyDescent="0.3">
      <c r="A6" s="5" t="s">
        <v>439</v>
      </c>
      <c r="B6" s="3" t="s">
        <v>16</v>
      </c>
      <c r="C6" s="3" t="s">
        <v>431</v>
      </c>
      <c r="D6" s="3" t="s">
        <v>441</v>
      </c>
      <c r="E6" s="3" t="s">
        <v>442</v>
      </c>
      <c r="F6" s="3" t="s">
        <v>561</v>
      </c>
    </row>
    <row r="7" spans="1:6" x14ac:dyDescent="0.3">
      <c r="A7" s="3" t="s">
        <v>562</v>
      </c>
      <c r="B7" s="3" t="s">
        <v>549</v>
      </c>
      <c r="C7" s="3" t="s">
        <v>436</v>
      </c>
      <c r="D7" s="3" t="s">
        <v>563</v>
      </c>
      <c r="E7" s="3" t="s">
        <v>564</v>
      </c>
      <c r="F7" s="3" t="s">
        <v>565</v>
      </c>
    </row>
    <row r="8" spans="1:6" x14ac:dyDescent="0.3">
      <c r="A8" s="3" t="s">
        <v>566</v>
      </c>
      <c r="B8" s="3" t="s">
        <v>549</v>
      </c>
      <c r="C8" s="3" t="s">
        <v>436</v>
      </c>
      <c r="D8" s="3" t="s">
        <v>567</v>
      </c>
      <c r="E8" s="3" t="s">
        <v>568</v>
      </c>
      <c r="F8" s="3"/>
    </row>
    <row r="9" spans="1:6" x14ac:dyDescent="0.3">
      <c r="A9" s="3" t="s">
        <v>36</v>
      </c>
      <c r="B9" s="3" t="s">
        <v>16</v>
      </c>
      <c r="C9" s="3" t="s">
        <v>436</v>
      </c>
      <c r="D9" s="3" t="s">
        <v>569</v>
      </c>
      <c r="E9" s="3" t="s">
        <v>38</v>
      </c>
      <c r="F9" s="3"/>
    </row>
    <row r="10" spans="1:6" x14ac:dyDescent="0.3">
      <c r="A10" s="3" t="s">
        <v>272</v>
      </c>
      <c r="B10" s="3" t="s">
        <v>16</v>
      </c>
      <c r="C10" s="3" t="s">
        <v>436</v>
      </c>
      <c r="D10" s="3" t="s">
        <v>273</v>
      </c>
      <c r="E10" s="3" t="s">
        <v>570</v>
      </c>
      <c r="F10" s="3" t="s">
        <v>571</v>
      </c>
    </row>
    <row r="11" spans="1:6" x14ac:dyDescent="0.3">
      <c r="A11" s="3" t="s">
        <v>572</v>
      </c>
      <c r="B11" s="3" t="s">
        <v>16</v>
      </c>
      <c r="C11" s="3" t="s">
        <v>436</v>
      </c>
      <c r="D11" s="3" t="s">
        <v>573</v>
      </c>
      <c r="E11" s="3" t="s">
        <v>574</v>
      </c>
      <c r="F11" s="3" t="s">
        <v>575</v>
      </c>
    </row>
    <row r="12" spans="1:6" x14ac:dyDescent="0.3">
      <c r="A12" s="3" t="s">
        <v>576</v>
      </c>
      <c r="B12" s="3" t="s">
        <v>16</v>
      </c>
      <c r="C12" s="3" t="s">
        <v>436</v>
      </c>
      <c r="D12" s="3" t="s">
        <v>577</v>
      </c>
      <c r="E12" s="3" t="s">
        <v>30</v>
      </c>
      <c r="F12" s="3" t="s">
        <v>578</v>
      </c>
    </row>
    <row r="13" spans="1:6" x14ac:dyDescent="0.3">
      <c r="A13" s="3" t="s">
        <v>579</v>
      </c>
      <c r="B13" s="3" t="s">
        <v>544</v>
      </c>
      <c r="C13" s="3" t="s">
        <v>436</v>
      </c>
      <c r="D13" s="3" t="s">
        <v>580</v>
      </c>
      <c r="E13" s="3" t="s">
        <v>546</v>
      </c>
      <c r="F13" s="3" t="s">
        <v>547</v>
      </c>
    </row>
    <row r="14" spans="1:6" x14ac:dyDescent="0.3">
      <c r="A14" s="3" t="s">
        <v>581</v>
      </c>
      <c r="B14" s="3" t="s">
        <v>49</v>
      </c>
      <c r="C14" s="3" t="s">
        <v>436</v>
      </c>
      <c r="D14" s="3" t="s">
        <v>582</v>
      </c>
      <c r="E14" s="3" t="s">
        <v>583</v>
      </c>
      <c r="F14" s="3" t="s">
        <v>584</v>
      </c>
    </row>
    <row r="15" spans="1:6" x14ac:dyDescent="0.3">
      <c r="A15" s="3" t="s">
        <v>585</v>
      </c>
      <c r="B15" s="3" t="s">
        <v>60</v>
      </c>
      <c r="C15" s="3" t="s">
        <v>436</v>
      </c>
      <c r="D15" s="3" t="s">
        <v>586</v>
      </c>
      <c r="E15" s="3" t="s">
        <v>587</v>
      </c>
      <c r="F15" s="3" t="s">
        <v>588</v>
      </c>
    </row>
    <row r="16" spans="1:6" x14ac:dyDescent="0.3">
      <c r="A16" s="3" t="s">
        <v>589</v>
      </c>
      <c r="B16" s="3" t="s">
        <v>549</v>
      </c>
      <c r="C16" s="3" t="s">
        <v>436</v>
      </c>
      <c r="D16" s="3" t="s">
        <v>590</v>
      </c>
      <c r="E16" s="3" t="s">
        <v>591</v>
      </c>
      <c r="F16" s="3" t="s">
        <v>592</v>
      </c>
    </row>
  </sheetData>
  <autoFilter ref="A5:F16" xr:uid="{00000000-0009-0000-0000-000008000000}"/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F9D58"/>
  </sheetPr>
  <dimension ref="A1:F15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22" customWidth="1"/>
    <col min="2" max="2" width="15" customWidth="1"/>
    <col min="3" max="3" width="12" customWidth="1"/>
    <col min="4" max="4" width="30" customWidth="1"/>
    <col min="5" max="5" width="28" customWidth="1"/>
    <col min="6" max="6" width="55" customWidth="1"/>
  </cols>
  <sheetData>
    <row r="1" spans="1:6" ht="17.399999999999999" x14ac:dyDescent="0.3">
      <c r="A1" s="8" t="s">
        <v>593</v>
      </c>
      <c r="B1" s="7"/>
      <c r="C1" s="7"/>
      <c r="D1" s="7"/>
      <c r="E1" s="7"/>
      <c r="F1" s="7"/>
    </row>
    <row r="2" spans="1:6" x14ac:dyDescent="0.3">
      <c r="A2" s="1" t="s">
        <v>594</v>
      </c>
    </row>
    <row r="5" spans="1:6" x14ac:dyDescent="0.3">
      <c r="A5" s="2" t="s">
        <v>428</v>
      </c>
      <c r="B5" s="2" t="s">
        <v>4</v>
      </c>
      <c r="C5" s="2" t="s">
        <v>429</v>
      </c>
      <c r="D5" s="2" t="s">
        <v>6</v>
      </c>
      <c r="E5" s="2" t="s">
        <v>7</v>
      </c>
      <c r="F5" s="2" t="s">
        <v>8</v>
      </c>
    </row>
    <row r="6" spans="1:6" x14ac:dyDescent="0.3">
      <c r="A6" s="5" t="s">
        <v>160</v>
      </c>
      <c r="B6" s="3" t="s">
        <v>16</v>
      </c>
      <c r="C6" s="3" t="s">
        <v>431</v>
      </c>
      <c r="D6" s="3" t="s">
        <v>161</v>
      </c>
      <c r="E6" s="3" t="s">
        <v>162</v>
      </c>
      <c r="F6" s="3" t="s">
        <v>595</v>
      </c>
    </row>
    <row r="7" spans="1:6" x14ac:dyDescent="0.3">
      <c r="A7" s="3" t="s">
        <v>596</v>
      </c>
      <c r="B7" s="3" t="s">
        <v>16</v>
      </c>
      <c r="C7" s="3" t="s">
        <v>436</v>
      </c>
      <c r="D7" s="3" t="s">
        <v>597</v>
      </c>
      <c r="E7" s="3" t="s">
        <v>598</v>
      </c>
      <c r="F7" s="3" t="s">
        <v>599</v>
      </c>
    </row>
    <row r="8" spans="1:6" ht="26.4" x14ac:dyDescent="0.3">
      <c r="A8" s="3" t="s">
        <v>600</v>
      </c>
      <c r="B8" s="3" t="s">
        <v>16</v>
      </c>
      <c r="C8" s="3" t="s">
        <v>436</v>
      </c>
      <c r="D8" s="3" t="s">
        <v>601</v>
      </c>
      <c r="E8" s="3" t="s">
        <v>178</v>
      </c>
      <c r="F8" s="3" t="s">
        <v>602</v>
      </c>
    </row>
    <row r="9" spans="1:6" x14ac:dyDescent="0.3">
      <c r="A9" s="3" t="s">
        <v>176</v>
      </c>
      <c r="B9" s="3" t="s">
        <v>16</v>
      </c>
      <c r="C9" s="3" t="s">
        <v>436</v>
      </c>
      <c r="D9" s="3" t="s">
        <v>603</v>
      </c>
      <c r="E9" s="3" t="s">
        <v>604</v>
      </c>
      <c r="F9" s="3" t="s">
        <v>605</v>
      </c>
    </row>
    <row r="10" spans="1:6" x14ac:dyDescent="0.3">
      <c r="A10" s="3" t="s">
        <v>606</v>
      </c>
      <c r="B10" s="3" t="s">
        <v>549</v>
      </c>
      <c r="C10" s="3" t="s">
        <v>436</v>
      </c>
      <c r="D10" s="3" t="s">
        <v>607</v>
      </c>
      <c r="E10" s="3" t="s">
        <v>608</v>
      </c>
      <c r="F10" s="3"/>
    </row>
    <row r="11" spans="1:6" x14ac:dyDescent="0.3">
      <c r="A11" s="3" t="s">
        <v>609</v>
      </c>
      <c r="B11" s="3" t="s">
        <v>549</v>
      </c>
      <c r="C11" s="3" t="s">
        <v>436</v>
      </c>
      <c r="D11" s="3" t="s">
        <v>610</v>
      </c>
      <c r="E11" s="3" t="s">
        <v>611</v>
      </c>
      <c r="F11" s="3"/>
    </row>
    <row r="12" spans="1:6" x14ac:dyDescent="0.3">
      <c r="A12" s="3" t="s">
        <v>612</v>
      </c>
      <c r="B12" s="3" t="s">
        <v>60</v>
      </c>
      <c r="C12" s="3" t="s">
        <v>436</v>
      </c>
      <c r="D12" s="3" t="s">
        <v>613</v>
      </c>
      <c r="E12" s="3" t="s">
        <v>614</v>
      </c>
      <c r="F12" s="3"/>
    </row>
    <row r="13" spans="1:6" x14ac:dyDescent="0.3">
      <c r="A13" s="3" t="s">
        <v>615</v>
      </c>
      <c r="B13" s="3" t="s">
        <v>60</v>
      </c>
      <c r="C13" s="3" t="s">
        <v>436</v>
      </c>
      <c r="D13" s="3" t="s">
        <v>616</v>
      </c>
      <c r="E13" s="3" t="s">
        <v>617</v>
      </c>
      <c r="F13" s="3"/>
    </row>
    <row r="14" spans="1:6" x14ac:dyDescent="0.3">
      <c r="A14" s="3" t="s">
        <v>618</v>
      </c>
      <c r="B14" s="3" t="s">
        <v>16</v>
      </c>
      <c r="C14" s="3" t="s">
        <v>436</v>
      </c>
      <c r="D14" s="3" t="s">
        <v>619</v>
      </c>
      <c r="E14" s="3" t="s">
        <v>620</v>
      </c>
      <c r="F14" s="3"/>
    </row>
    <row r="15" spans="1:6" x14ac:dyDescent="0.3">
      <c r="A15" s="3" t="s">
        <v>621</v>
      </c>
      <c r="B15" s="3" t="s">
        <v>16</v>
      </c>
      <c r="C15" s="3" t="s">
        <v>436</v>
      </c>
      <c r="D15" s="3" t="s">
        <v>622</v>
      </c>
      <c r="E15" s="3" t="s">
        <v>623</v>
      </c>
      <c r="F15" s="3" t="s">
        <v>624</v>
      </c>
    </row>
  </sheetData>
  <autoFilter ref="A5:F15" xr:uid="{00000000-0009-0000-0000-000009000000}"/>
  <mergeCells count="1"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666666"/>
  </sheetPr>
  <dimension ref="A1:F19"/>
  <sheetViews>
    <sheetView workbookViewId="0">
      <pane ySplit="5" topLeftCell="A6" activePane="bottomLeft" state="frozen"/>
      <selection pane="bottomLeft"/>
    </sheetView>
  </sheetViews>
  <sheetFormatPr defaultRowHeight="14.4" x14ac:dyDescent="0.3"/>
  <cols>
    <col min="1" max="1" width="30" customWidth="1"/>
    <col min="2" max="2" width="20" customWidth="1"/>
    <col min="3" max="3" width="25" customWidth="1"/>
  </cols>
  <sheetData>
    <row r="1" spans="1:6" ht="17.399999999999999" x14ac:dyDescent="0.3">
      <c r="A1" s="8" t="s">
        <v>625</v>
      </c>
      <c r="B1" s="7"/>
      <c r="C1" s="7"/>
      <c r="D1" s="7"/>
      <c r="E1" s="7"/>
      <c r="F1" s="7"/>
    </row>
    <row r="2" spans="1:6" x14ac:dyDescent="0.3">
      <c r="A2" s="1" t="s">
        <v>626</v>
      </c>
    </row>
    <row r="5" spans="1:6" x14ac:dyDescent="0.3">
      <c r="A5" s="2" t="s">
        <v>451</v>
      </c>
      <c r="B5" s="2" t="s">
        <v>454</v>
      </c>
      <c r="C5" s="2" t="s">
        <v>627</v>
      </c>
    </row>
    <row r="6" spans="1:6" x14ac:dyDescent="0.3">
      <c r="A6" s="3" t="s">
        <v>18</v>
      </c>
      <c r="B6" s="3" t="s">
        <v>22</v>
      </c>
      <c r="C6" s="3" t="s">
        <v>30</v>
      </c>
    </row>
    <row r="7" spans="1:6" x14ac:dyDescent="0.3">
      <c r="A7" s="3" t="s">
        <v>18</v>
      </c>
      <c r="B7" s="3" t="s">
        <v>209</v>
      </c>
      <c r="C7" s="3" t="s">
        <v>628</v>
      </c>
    </row>
    <row r="8" spans="1:6" x14ac:dyDescent="0.3">
      <c r="A8" s="3" t="s">
        <v>629</v>
      </c>
      <c r="B8" s="3" t="s">
        <v>22</v>
      </c>
      <c r="C8" s="3" t="s">
        <v>30</v>
      </c>
    </row>
    <row r="9" spans="1:6" x14ac:dyDescent="0.3">
      <c r="A9" s="3" t="s">
        <v>629</v>
      </c>
      <c r="B9" s="3" t="s">
        <v>209</v>
      </c>
      <c r="C9" s="3" t="s">
        <v>628</v>
      </c>
    </row>
    <row r="10" spans="1:6" x14ac:dyDescent="0.3">
      <c r="A10" s="3" t="s">
        <v>278</v>
      </c>
      <c r="B10" s="3" t="s">
        <v>209</v>
      </c>
      <c r="C10" s="3" t="s">
        <v>630</v>
      </c>
    </row>
    <row r="11" spans="1:6" x14ac:dyDescent="0.3">
      <c r="A11" s="3" t="s">
        <v>278</v>
      </c>
      <c r="B11" s="3" t="s">
        <v>631</v>
      </c>
      <c r="C11" s="3" t="s">
        <v>632</v>
      </c>
    </row>
    <row r="12" spans="1:6" x14ac:dyDescent="0.3">
      <c r="A12" s="3" t="s">
        <v>633</v>
      </c>
      <c r="B12" s="3" t="s">
        <v>209</v>
      </c>
      <c r="C12" s="3" t="s">
        <v>630</v>
      </c>
    </row>
    <row r="13" spans="1:6" x14ac:dyDescent="0.3">
      <c r="A13" s="3" t="s">
        <v>633</v>
      </c>
      <c r="B13" s="3" t="s">
        <v>631</v>
      </c>
      <c r="C13" s="3" t="s">
        <v>632</v>
      </c>
    </row>
    <row r="14" spans="1:6" x14ac:dyDescent="0.3">
      <c r="A14" s="3" t="s">
        <v>634</v>
      </c>
      <c r="B14" s="3" t="s">
        <v>635</v>
      </c>
      <c r="C14" s="3" t="s">
        <v>636</v>
      </c>
    </row>
    <row r="15" spans="1:6" x14ac:dyDescent="0.3">
      <c r="A15" s="3" t="s">
        <v>637</v>
      </c>
      <c r="B15" s="3" t="s">
        <v>638</v>
      </c>
      <c r="C15" s="3" t="s">
        <v>639</v>
      </c>
    </row>
    <row r="16" spans="1:6" x14ac:dyDescent="0.3">
      <c r="A16" s="3" t="s">
        <v>640</v>
      </c>
      <c r="B16" s="3" t="s">
        <v>641</v>
      </c>
      <c r="C16" s="3" t="s">
        <v>642</v>
      </c>
    </row>
    <row r="17" spans="1:3" x14ac:dyDescent="0.3">
      <c r="A17" s="3" t="s">
        <v>643</v>
      </c>
      <c r="B17" s="3" t="s">
        <v>641</v>
      </c>
      <c r="C17" s="3" t="s">
        <v>642</v>
      </c>
    </row>
    <row r="18" spans="1:3" x14ac:dyDescent="0.3">
      <c r="A18" s="3" t="s">
        <v>644</v>
      </c>
      <c r="B18" s="3" t="s">
        <v>209</v>
      </c>
      <c r="C18" s="3" t="s">
        <v>645</v>
      </c>
    </row>
    <row r="19" spans="1:3" x14ac:dyDescent="0.3">
      <c r="A19" s="3" t="s">
        <v>644</v>
      </c>
      <c r="B19" s="3" t="s">
        <v>22</v>
      </c>
      <c r="C19" s="3" t="s">
        <v>646</v>
      </c>
    </row>
  </sheetData>
  <autoFilter ref="A5:F19" xr:uid="{00000000-0009-0000-0000-00000A000000}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11</vt:i4>
      </vt:variant>
    </vt:vector>
  </HeadingPairs>
  <TitlesOfParts>
    <vt:vector size="11" baseType="lpstr">
      <vt:lpstr>GA4 - Trafik</vt:lpstr>
      <vt:lpstr>GA4 - Ürün Etkileşim</vt:lpstr>
      <vt:lpstr>Meta Ads</vt:lpstr>
      <vt:lpstr>Meta Ads - Breakdowns</vt:lpstr>
      <vt:lpstr>Google Ads</vt:lpstr>
      <vt:lpstr>E-Ticaret - Siparişler</vt:lpstr>
      <vt:lpstr>E-Ticaret - Sipariş Kalemleri</vt:lpstr>
      <vt:lpstr>Ürünler (Products)</vt:lpstr>
      <vt:lpstr>Müşteriler (Customers)</vt:lpstr>
      <vt:lpstr>Kampanyalar (Campaigns)</vt:lpstr>
      <vt:lpstr>Kanal Eşleme (Mapping)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Emre YAVŞAN</cp:lastModifiedBy>
  <dcterms:created xsi:type="dcterms:W3CDTF">2026-03-23T08:37:33Z</dcterms:created>
  <dcterms:modified xsi:type="dcterms:W3CDTF">2026-03-23T08:43:17Z</dcterms:modified>
</cp:coreProperties>
</file>